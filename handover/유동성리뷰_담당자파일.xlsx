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안내" sheetId="1" state="visible" r:id="rId3"/>
    <sheet name="종합148" sheetId="2" state="visible" r:id="rId4"/>
    <sheet name="주차별배정" sheetId="3" state="visible" r:id="rId5"/>
    <sheet name="진행현황" sheetId="4" state="visible" r:id="rId6"/>
    <sheet name="분류틀" sheetId="5" state="visible" r:id="rId7"/>
    <sheet name="선별과정" sheetId="6" state="visible" r:id="rId8"/>
    <sheet name="전체438" sheetId="7" state="visible" r:id="rId9"/>
  </sheets>
  <definedNames>
    <definedName function="false" hidden="true" localSheetId="6" name="_xlnm._FilterDatabase" vbProcedure="false">전체438!$A$1:$H$439</definedName>
    <definedName function="false" hidden="true" localSheetId="1" name="_xlnm._FilterDatabase" vbProcedure="false">종합148!$A$1:$O$149</definedName>
    <definedName function="false" hidden="true" localSheetId="2" name="_xlnm._FilterDatabase" vbProcedure="false">주차별배정!$A$1:$R$156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WenQuanYi Zen Hei"/>
            <family val="2"/>
          </rPr>
          <t xml:space="preserve">쓰는 법을 보여 주는 예시 행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WenQuanYi Zen Hei"/>
            <family val="2"/>
          </rPr>
          <t xml:space="preserve">진행현황 계산에서는 빠진다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<sst xmlns="http://schemas.openxmlformats.org/spreadsheetml/2006/main" count="6792" uniqueCount="1595">
  <si>
    <r>
      <rPr>
        <b val="true"/>
        <sz val="14"/>
        <rFont val="WenQuanYi Zen Hei"/>
        <family val="2"/>
      </rPr>
      <t xml:space="preserve">유동성 지표 체계적 문헌고찰 — 담당자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이원석</t>
    </r>
    <r>
      <rPr>
        <b val="true"/>
        <sz val="14"/>
        <rFont val="Arial"/>
        <family val="0"/>
        <charset val="1"/>
      </rPr>
      <t xml:space="preserve">) </t>
    </r>
    <r>
      <rPr>
        <b val="true"/>
        <sz val="14"/>
        <rFont val="WenQuanYi Zen Hei"/>
        <family val="2"/>
      </rPr>
      <t xml:space="preserve">작업 파일</t>
    </r>
  </si>
  <si>
    <r>
      <rPr>
        <sz val="10"/>
        <rFont val="WenQuanYi Zen Hei"/>
        <family val="2"/>
      </rPr>
      <t xml:space="preserve">작성 </t>
    </r>
    <r>
      <rPr>
        <sz val="10"/>
        <rFont val="Arial"/>
        <family val="0"/>
        <charset val="1"/>
      </rPr>
      <t xml:space="preserve">2026-10-13 · </t>
    </r>
    <r>
      <rPr>
        <sz val="10"/>
        <rFont val="WenQuanYi Zen Hei"/>
        <family val="2"/>
      </rPr>
      <t xml:space="preserve">연구책임자 최승비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원본 데이터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저장소 </t>
    </r>
    <r>
      <rPr>
        <sz val="10"/>
        <rFont val="Arial"/>
        <family val="0"/>
        <charset val="1"/>
      </rPr>
      <t xml:space="preserve">csbee89/literature-review</t>
    </r>
  </si>
  <si>
    <t xml:space="preserve">시트 안내</t>
  </si>
  <si>
    <r>
      <rPr>
        <sz val="10"/>
        <rFont val="WenQuanYi Zen Hei"/>
        <family val="2"/>
      </rPr>
      <t xml:space="preserve">종합</t>
    </r>
    <r>
      <rPr>
        <sz val="10"/>
        <rFont val="Arial"/>
        <family val="0"/>
        <charset val="1"/>
      </rPr>
      <t xml:space="preserve">148: </t>
    </r>
    <r>
      <rPr>
        <sz val="10"/>
        <rFont val="WenQuanYi Zen Hei"/>
        <family val="2"/>
      </rPr>
      <t xml:space="preserve">이번 리뷰에서 정리할 논문 전체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교수 승인 </t>
    </r>
    <r>
      <rPr>
        <sz val="10"/>
        <rFont val="Arial"/>
        <family val="0"/>
        <charset val="1"/>
      </rPr>
      <t xml:space="preserve">10/11). </t>
    </r>
    <r>
      <rPr>
        <sz val="10"/>
        <rFont val="WenQuanYi Zen Hei"/>
        <family val="2"/>
      </rPr>
      <t xml:space="preserve">주차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담당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짝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원문 받는 법이 함께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</si>
  <si>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주차별배정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매주 누가 무엇을 하는지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노란 칸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제출일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접수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짝점검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반려사유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을 원석이 채운다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맨 위 회색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예시</t>
    </r>
    <r>
      <rPr>
        <sz val="10"/>
        <rFont val="Arial"/>
        <family val="0"/>
        <charset val="1"/>
      </rPr>
      <t xml:space="preserve">' </t>
    </r>
    <r>
      <rPr>
        <sz val="10"/>
        <rFont val="WenQuanYi Zen Hei"/>
        <family val="2"/>
      </rPr>
      <t xml:space="preserve">행을 따라 쓴다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</si>
  <si>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진행현황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주차별배정의 노란 칸을 채우면 자동으로 계산된다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수식</t>
    </r>
    <r>
      <rPr>
        <sz val="10"/>
        <rFont val="Arial"/>
        <family val="0"/>
        <charset val="1"/>
      </rPr>
      <t xml:space="preserve">). </t>
    </r>
    <r>
      <rPr>
        <sz val="10"/>
        <rFont val="WenQuanYi Zen Hei"/>
        <family val="2"/>
      </rPr>
      <t xml:space="preserve">매주 수요일 보고에 이 숫자를 쓴다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</si>
  <si>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분류틀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단계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기능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시장 코드의 뜻과 </t>
    </r>
    <r>
      <rPr>
        <sz val="10"/>
        <rFont val="Arial"/>
        <family val="0"/>
        <charset val="1"/>
      </rPr>
      <t xml:space="preserve">148</t>
    </r>
    <r>
      <rPr>
        <sz val="10"/>
        <rFont val="WenQuanYi Zen Hei"/>
        <family val="2"/>
      </rPr>
      <t xml:space="preserve">편의 교차표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수식</t>
    </r>
    <r>
      <rPr>
        <sz val="10"/>
        <rFont val="Arial"/>
        <family val="0"/>
        <charset val="1"/>
      </rPr>
      <t xml:space="preserve">).</t>
    </r>
  </si>
  <si>
    <r>
      <rPr>
        <sz val="10"/>
        <rFont val="WenQuanYi Zen Hei"/>
        <family val="2"/>
      </rPr>
      <t xml:space="preserve">선별과정</t>
    </r>
    <r>
      <rPr>
        <sz val="10"/>
        <rFont val="Arial"/>
        <family val="0"/>
        <charset val="1"/>
      </rPr>
      <t xml:space="preserve">: 52,006</t>
    </r>
    <r>
      <rPr>
        <sz val="10"/>
        <rFont val="WenQuanYi Zen Hei"/>
        <family val="2"/>
      </rPr>
      <t xml:space="preserve">건에서 </t>
    </r>
    <r>
      <rPr>
        <sz val="10"/>
        <rFont val="Arial"/>
        <family val="0"/>
        <charset val="1"/>
      </rPr>
      <t xml:space="preserve">148</t>
    </r>
    <r>
      <rPr>
        <sz val="10"/>
        <rFont val="WenQuanYi Zen Hei"/>
        <family val="2"/>
      </rPr>
      <t xml:space="preserve">편이 되기까지</t>
    </r>
    <r>
      <rPr>
        <sz val="10"/>
        <rFont val="Arial"/>
        <family val="0"/>
        <charset val="1"/>
      </rPr>
      <t xml:space="preserve">(PRISMA). </t>
    </r>
    <r>
      <rPr>
        <sz val="10"/>
        <rFont val="WenQuanYi Zen Hei"/>
        <family val="2"/>
      </rPr>
      <t xml:space="preserve">논문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장의 숫자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</si>
  <si>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전체</t>
    </r>
    <r>
      <rPr>
        <sz val="10"/>
        <rFont val="Arial"/>
        <family val="0"/>
        <charset val="1"/>
      </rPr>
      <t xml:space="preserve">438: </t>
    </r>
    <r>
      <rPr>
        <sz val="10"/>
        <rFont val="WenQuanYi Zen Hei"/>
        <family val="2"/>
      </rPr>
      <t xml:space="preserve">제목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초록 선별을 통과한 </t>
    </r>
    <r>
      <rPr>
        <sz val="10"/>
        <rFont val="Arial"/>
        <family val="0"/>
        <charset val="1"/>
      </rPr>
      <t xml:space="preserve">438</t>
    </r>
    <r>
      <rPr>
        <sz val="10"/>
        <rFont val="WenQuanYi Zen Hei"/>
        <family val="2"/>
      </rPr>
      <t xml:space="preserve">편과 각 편이 종합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배경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증거지도 중 어디로 갔는지</t>
    </r>
    <r>
      <rPr>
        <sz val="10"/>
        <rFont val="Arial"/>
        <family val="0"/>
        <charset val="1"/>
      </rPr>
      <t xml:space="preserve">.</t>
    </r>
  </si>
  <si>
    <t xml:space="preserve">노란 칸 입력 규칙</t>
  </si>
  <si>
    <r>
      <rPr>
        <sz val="10"/>
        <rFont val="WenQuanYi Zen Hei"/>
        <family val="2"/>
      </rPr>
      <t xml:space="preserve">접수</t>
    </r>
    <r>
      <rPr>
        <sz val="10"/>
        <rFont val="Arial"/>
        <family val="0"/>
        <charset val="1"/>
      </rPr>
      <t xml:space="preserve">: O(</t>
    </r>
    <r>
      <rPr>
        <sz val="10"/>
        <rFont val="WenQuanYi Zen Hei"/>
        <family val="2"/>
      </rPr>
      <t xml:space="preserve">통과</t>
    </r>
    <r>
      <rPr>
        <sz val="10"/>
        <rFont val="Arial"/>
        <family val="0"/>
        <charset val="1"/>
      </rPr>
      <t xml:space="preserve">) / </t>
    </r>
    <r>
      <rPr>
        <sz val="10"/>
        <rFont val="WenQuanYi Zen Hei"/>
        <family val="2"/>
      </rPr>
      <t xml:space="preserve">반려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미제출 중 하나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짝점검</t>
    </r>
    <r>
      <rPr>
        <sz val="10"/>
        <rFont val="Arial"/>
        <family val="0"/>
        <charset val="1"/>
      </rPr>
      <t xml:space="preserve">: O / </t>
    </r>
    <r>
      <rPr>
        <sz val="10"/>
        <rFont val="WenQuanYi Zen Hei"/>
        <family val="2"/>
      </rPr>
      <t xml:space="preserve">수정필요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반려사유는 짧게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예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정의 원문 쪽수 없음</t>
    </r>
    <r>
      <rPr>
        <sz val="10"/>
        <rFont val="Arial"/>
        <family val="0"/>
        <charset val="1"/>
      </rPr>
      <t xml:space="preserve">).</t>
    </r>
  </si>
  <si>
    <r>
      <rPr>
        <sz val="10"/>
        <rFont val="WenQuanYi Zen Hei"/>
        <family val="2"/>
      </rPr>
      <t xml:space="preserve">원문 상태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도서관 전자저널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은 학교 도서관 로그인 후 </t>
    </r>
    <r>
      <rPr>
        <sz val="10"/>
        <rFont val="Arial"/>
        <family val="0"/>
        <charset val="1"/>
      </rPr>
      <t xml:space="preserve">DOI </t>
    </r>
    <r>
      <rPr>
        <sz val="10"/>
        <rFont val="WenQuanYi Zen Hei"/>
        <family val="2"/>
      </rPr>
      <t xml:space="preserve">링크로 받는다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안 되면 상호대차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</si>
  <si>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원문 상태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한국 학술지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는 </t>
    </r>
    <r>
      <rPr>
        <sz val="10"/>
        <rFont val="Arial"/>
        <family val="0"/>
        <charset val="1"/>
      </rPr>
      <t xml:space="preserve">KCI</t>
    </r>
    <r>
      <rPr>
        <sz val="10"/>
        <rFont val="WenQuanYi Zen Hei"/>
        <family val="2"/>
      </rPr>
      <t xml:space="preserve">에서 논문명 검색 → 원문보기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안 되면 </t>
    </r>
    <r>
      <rPr>
        <sz val="10"/>
        <rFont val="Arial"/>
        <family val="0"/>
        <charset val="1"/>
      </rPr>
      <t xml:space="preserve">RISS·DBpia.</t>
    </r>
  </si>
  <si>
    <r>
      <rPr>
        <sz val="10"/>
        <rFont val="WenQuanYi Zen Hei"/>
        <family val="2"/>
      </rPr>
      <t xml:space="preserve">원문 상태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받음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은 저장소 </t>
    </r>
    <r>
      <rPr>
        <sz val="10"/>
        <rFont val="Arial"/>
        <family val="0"/>
        <charset val="1"/>
      </rPr>
      <t xml:space="preserve">papers/ </t>
    </r>
    <r>
      <rPr>
        <sz val="10"/>
        <rFont val="WenQuanYi Zen Hei"/>
        <family val="2"/>
      </rPr>
      <t xml:space="preserve">폴더에 </t>
    </r>
    <r>
      <rPr>
        <sz val="10"/>
        <rFont val="Arial"/>
        <family val="0"/>
        <charset val="1"/>
      </rPr>
      <t xml:space="preserve">PDF</t>
    </r>
    <r>
      <rPr>
        <sz val="10"/>
        <rFont val="WenQuanYi Zen Hei"/>
        <family val="2"/>
      </rPr>
      <t xml:space="preserve">가 있다</t>
    </r>
    <r>
      <rPr>
        <sz val="10"/>
        <rFont val="Arial"/>
        <family val="0"/>
        <charset val="1"/>
      </rPr>
      <t xml:space="preserve">(pid </t>
    </r>
    <r>
      <rPr>
        <sz val="10"/>
        <rFont val="WenQuanYi Zen Hei"/>
        <family val="2"/>
      </rPr>
      <t xml:space="preserve">이름</t>
    </r>
    <r>
      <rPr>
        <sz val="10"/>
        <rFont val="Arial"/>
        <family val="0"/>
        <charset val="1"/>
      </rPr>
      <t xml:space="preserve">).</t>
    </r>
  </si>
  <si>
    <t xml:space="preserve">숫자 출처</t>
  </si>
  <si>
    <r>
      <rPr>
        <sz val="10"/>
        <rFont val="WenQuanYi Zen Hei"/>
        <family val="2"/>
      </rPr>
      <t xml:space="preserve">선별과정 시트의 수치는 저장소 </t>
    </r>
    <r>
      <rPr>
        <sz val="10"/>
        <rFont val="Arial"/>
        <family val="0"/>
        <charset val="1"/>
      </rPr>
      <t xml:space="preserve">review/prisma_flow.md(2026-10-10 </t>
    </r>
    <r>
      <rPr>
        <sz val="10"/>
        <rFont val="WenQuanYi Zen Hei"/>
        <family val="2"/>
      </rPr>
      <t xml:space="preserve">검색 실행 결과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에서 옮긴 값이다</t>
    </r>
    <r>
      <rPr>
        <sz val="10"/>
        <rFont val="Arial"/>
        <family val="0"/>
        <charset val="1"/>
      </rPr>
      <t xml:space="preserve">.</t>
    </r>
  </si>
  <si>
    <t xml:space="preserve">pid</t>
  </si>
  <si>
    <t xml:space="preserve">주차</t>
  </si>
  <si>
    <t xml:space="preserve">담당</t>
  </si>
  <si>
    <t xml:space="preserve">짝</t>
  </si>
  <si>
    <t xml:space="preserve">연도</t>
  </si>
  <si>
    <t xml:space="preserve">제목</t>
  </si>
  <si>
    <t xml:space="preserve">학술지</t>
  </si>
  <si>
    <t xml:space="preserve">DOI</t>
  </si>
  <si>
    <t xml:space="preserve">단계</t>
  </si>
  <si>
    <t xml:space="preserve">기능</t>
  </si>
  <si>
    <t xml:space="preserve">시장</t>
  </si>
  <si>
    <t xml:space="preserve">한국</t>
  </si>
  <si>
    <t xml:space="preserve">원문 상태</t>
  </si>
  <si>
    <t xml:space="preserve">원문 받는 법</t>
  </si>
  <si>
    <t xml:space="preserve">비고</t>
  </si>
  <si>
    <t xml:space="preserve">p115</t>
  </si>
  <si>
    <t xml:space="preserve">예시</t>
  </si>
  <si>
    <t xml:space="preserve">Claude</t>
  </si>
  <si>
    <t xml:space="preserve">이원석</t>
  </si>
  <si>
    <t xml:space="preserve">Frequency domain analysis to detect common cycle in housing price and trading volume</t>
  </si>
  <si>
    <t xml:space="preserve">Journal of Housing and Urban Finance</t>
  </si>
  <si>
    <t xml:space="preserve">https://doi.org/10.38100/jhuf.2021.6.2.53</t>
  </si>
  <si>
    <r>
      <rPr>
        <sz val="10"/>
        <rFont val="Arial"/>
        <family val="0"/>
        <charset val="1"/>
      </rPr>
      <t xml:space="preserve">S4 </t>
    </r>
    <r>
      <rPr>
        <sz val="10"/>
        <rFont val="WenQuanYi Zen Hei"/>
        <family val="2"/>
      </rPr>
      <t xml:space="preserve">체결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거래량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가격 발견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</si>
  <si>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F3 </t>
    </r>
    <r>
      <rPr>
        <sz val="10"/>
        <rFont val="WenQuanYi Zen Hei"/>
        <family val="2"/>
      </rPr>
      <t xml:space="preserve">선행성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관계</t>
    </r>
  </si>
  <si>
    <r>
      <rPr>
        <sz val="10"/>
        <rFont val="WenQuanYi Zen Hei"/>
        <family val="2"/>
      </rPr>
      <t xml:space="preserve">비</t>
    </r>
    <r>
      <rPr>
        <sz val="10"/>
        <rFont val="Arial"/>
        <family val="0"/>
        <charset val="1"/>
      </rPr>
      <t xml:space="preserve">MLS </t>
    </r>
    <r>
      <rPr>
        <sz val="10"/>
        <rFont val="WenQuanYi Zen Hei"/>
        <family val="2"/>
      </rPr>
      <t xml:space="preserve">포털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중개</t>
    </r>
  </si>
  <si>
    <t xml:space="preserve">Y</t>
  </si>
  <si>
    <t xml:space="preserve">받음</t>
  </si>
  <si>
    <t xml:space="preserve">papers/p115.pdf</t>
  </si>
  <si>
    <r>
      <rPr>
        <sz val="10"/>
        <rFont val="WenQuanYi Zen Hei"/>
        <family val="2"/>
      </rPr>
      <t xml:space="preserve">정리 예시 완료</t>
    </r>
    <r>
      <rPr>
        <sz val="10"/>
        <rFont val="Arial"/>
        <family val="0"/>
        <charset val="1"/>
      </rPr>
      <t xml:space="preserve">(examples/example_Ma2021_p115.md). </t>
    </r>
    <r>
      <rPr>
        <sz val="10"/>
        <rFont val="WenQuanYi Zen Hei"/>
        <family val="2"/>
      </rPr>
      <t xml:space="preserve">원석이 원문 대조 검증</t>
    </r>
  </si>
  <si>
    <t xml:space="preserve">p023</t>
  </si>
  <si>
    <t xml:space="preserve">W01</t>
  </si>
  <si>
    <r>
      <rPr>
        <sz val="10"/>
        <rFont val="WenQuanYi Zen Hei"/>
        <family val="2"/>
      </rPr>
      <t xml:space="preserve">전원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파일럿</t>
    </r>
    <r>
      <rPr>
        <sz val="10"/>
        <rFont val="Arial"/>
        <family val="0"/>
        <charset val="1"/>
      </rPr>
      <t xml:space="preserve">)</t>
    </r>
  </si>
  <si>
    <t xml:space="preserve">전원 비교</t>
  </si>
  <si>
    <t xml:space="preserve">Factors Affecting the Days on Market of Residential Real Estate in Seoul</t>
  </si>
  <si>
    <t xml:space="preserve">Korean Association for Housing Policy Studies</t>
  </si>
  <si>
    <t xml:space="preserve">https://doi.org/10.24957/hsr.2019.27.1.05</t>
  </si>
  <si>
    <r>
      <rPr>
        <sz val="10"/>
        <rFont val="Arial"/>
        <family val="0"/>
        <charset val="1"/>
      </rPr>
      <t xml:space="preserve">S3 </t>
    </r>
    <r>
      <rPr>
        <sz val="10"/>
        <rFont val="WenQuanYi Zen Hei"/>
        <family val="2"/>
      </rPr>
      <t xml:space="preserve">매칭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매물 시간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호가 조정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</si>
  <si>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F1 </t>
    </r>
    <r>
      <rPr>
        <sz val="10"/>
        <rFont val="WenQuanYi Zen Hei"/>
        <family val="2"/>
      </rPr>
      <t xml:space="preserve">정의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구축</t>
    </r>
  </si>
  <si>
    <r>
      <rPr>
        <sz val="10"/>
        <rFont val="WenQuanYi Zen Hei"/>
        <family val="2"/>
      </rPr>
      <t xml:space="preserve">한국 학술지</t>
    </r>
    <r>
      <rPr>
        <sz val="10"/>
        <rFont val="Arial"/>
        <family val="0"/>
        <charset val="1"/>
      </rPr>
      <t xml:space="preserve">(KCI·RISS·DBpia)</t>
    </r>
  </si>
  <si>
    <r>
      <rPr>
        <sz val="10"/>
        <rFont val="Arial"/>
        <family val="0"/>
        <charset val="1"/>
      </rPr>
      <t xml:space="preserve">KCI</t>
    </r>
    <r>
      <rPr>
        <sz val="10"/>
        <rFont val="WenQuanYi Zen Hei"/>
        <family val="2"/>
      </rPr>
      <t xml:space="preserve">에서 논문명 검색 → 원문보기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안 되면 </t>
    </r>
    <r>
      <rPr>
        <sz val="10"/>
        <rFont val="Arial"/>
        <family val="0"/>
        <charset val="1"/>
      </rPr>
      <t xml:space="preserve">RISS·DBpia(</t>
    </r>
    <r>
      <rPr>
        <sz val="10"/>
        <rFont val="WenQuanYi Zen Hei"/>
        <family val="2"/>
      </rPr>
      <t xml:space="preserve">학교 계정</t>
    </r>
    <r>
      <rPr>
        <sz val="10"/>
        <rFont val="Arial"/>
        <family val="0"/>
        <charset val="1"/>
      </rPr>
      <t xml:space="preserve">)</t>
    </r>
  </si>
  <si>
    <t xml:space="preserve">p058</t>
  </si>
  <si>
    <t xml:space="preserve">W02</t>
  </si>
  <si>
    <t xml:space="preserve">학부④</t>
  </si>
  <si>
    <t xml:space="preserve">A Study on the Impact of Asking Price and Sales Volume on the Real Transaction Price of Apartment using Machine Learning</t>
  </si>
  <si>
    <t xml:space="preserve">The Journal of Korean Institute of Information Technology</t>
  </si>
  <si>
    <t xml:space="preserve">https://doi.org/10.14801/jkiit.2023.21.10.37</t>
  </si>
  <si>
    <r>
      <rPr>
        <sz val="10"/>
        <rFont val="Arial"/>
        <family val="0"/>
        <charset val="1"/>
      </rPr>
      <t xml:space="preserve">S2 </t>
    </r>
    <r>
      <rPr>
        <sz val="10"/>
        <rFont val="WenQuanYi Zen Hei"/>
        <family val="2"/>
      </rPr>
      <t xml:space="preserve">공급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호가 설정</t>
    </r>
  </si>
  <si>
    <t xml:space="preserve">p089</t>
  </si>
  <si>
    <t xml:space="preserve">박사</t>
  </si>
  <si>
    <t xml:space="preserve">석사①</t>
  </si>
  <si>
    <t xml:space="preserve">A study on the impact of changes in consumer sentiment on the housing market in Korea</t>
  </si>
  <si>
    <t xml:space="preserve">International Journal of Urban Sciences</t>
  </si>
  <si>
    <t xml:space="preserve">https://doi.org/10.1080/12265934.2016.1239548</t>
  </si>
  <si>
    <r>
      <rPr>
        <sz val="10"/>
        <rFont val="Arial"/>
        <family val="0"/>
        <charset val="1"/>
      </rPr>
      <t xml:space="preserve">S1 </t>
    </r>
    <r>
      <rPr>
        <sz val="10"/>
        <rFont val="WenQuanYi Zen Hei"/>
        <family val="2"/>
      </rPr>
      <t xml:space="preserve">수요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관심</t>
    </r>
  </si>
  <si>
    <t xml:space="preserve">p092</t>
  </si>
  <si>
    <t xml:space="preserve">Relationship Among News Coverage, Consumers’ Sentiment, Prices, and Trading Volume in Housing Markets</t>
  </si>
  <si>
    <t xml:space="preserve">https://doi.org/10.24957/hsr.2017.25.3.01</t>
  </si>
  <si>
    <t xml:space="preserve">p094</t>
  </si>
  <si>
    <t xml:space="preserve">석사②</t>
  </si>
  <si>
    <t xml:space="preserve">학부①</t>
  </si>
  <si>
    <t xml:space="preserve">A Study on the Effects of News Big Data and Google Information Search on Apartment Transaction Volume</t>
  </si>
  <si>
    <t xml:space="preserve">Residential Environment Institute Of Korea</t>
  </si>
  <si>
    <t xml:space="preserve">https://doi.org/10.22313/reik.2018.16.2.411</t>
  </si>
  <si>
    <t xml:space="preserve">p103</t>
  </si>
  <si>
    <t xml:space="preserve">Consumer Sentiment in On-line Community and the Variation of Real Estate Market</t>
  </si>
  <si>
    <t xml:space="preserve">https://doi.org/10.22313/reik.2019.17.4.31</t>
  </si>
  <si>
    <t xml:space="preserve">p109</t>
  </si>
  <si>
    <t xml:space="preserve">학부②</t>
  </si>
  <si>
    <t xml:space="preserve">학부③</t>
  </si>
  <si>
    <t xml:space="preserve">Big Data Time Series Analysis of the Relationship Between News Coverage, Apartment Price and Trading Volume</t>
  </si>
  <si>
    <t xml:space="preserve">Korea Association Of Real Estate Law</t>
  </si>
  <si>
    <t xml:space="preserve">https://doi.org/10.32989/rel.2020.24.2.53</t>
  </si>
  <si>
    <t xml:space="preserve">p119</t>
  </si>
  <si>
    <t xml:space="preserve">Effects of Consumer Sentiment, Interest Rate, and Transaction Volume on Housing Price Using the BVAR</t>
  </si>
  <si>
    <t xml:space="preserve">The Journal of Humanities and Social sciences 21</t>
  </si>
  <si>
    <t xml:space="preserve">https://doi.org/10.22143/hss21.14.2.27</t>
  </si>
  <si>
    <t xml:space="preserve">p148</t>
  </si>
  <si>
    <t xml:space="preserve">Real Estate News Data by Living District in Seoul Trend Analysis Research Through Topic Modeling and Sentiment Analysis: Focusing on Apartment and Non-Apartment Transaction Volume</t>
  </si>
  <si>
    <t xml:space="preserve">정보과학회 컴퓨팅의 실제 논문지</t>
  </si>
  <si>
    <t xml:space="preserve">https://doi.org/10.5626/ktcp.2026.32.3.89</t>
  </si>
  <si>
    <t xml:space="preserve">p025</t>
  </si>
  <si>
    <t xml:space="preserve">W03</t>
  </si>
  <si>
    <t xml:space="preserve">The Effect of Apartment Housing Characteristics on the Days On Market(DOM)</t>
  </si>
  <si>
    <t xml:space="preserve">The Korean Association of Urban Policies</t>
  </si>
  <si>
    <t xml:space="preserve">https://doi.org/10.21447/jup.2019.10.3.101</t>
  </si>
  <si>
    <t xml:space="preserve">p035</t>
  </si>
  <si>
    <t xml:space="preserve">Determinants of Time to Close in Housing Transactions: Evidence from Survival Analysis</t>
  </si>
  <si>
    <t xml:space="preserve">https://doi.org/10.24957/hsr.2026.34.2.101</t>
  </si>
  <si>
    <t xml:space="preserve">p063</t>
  </si>
  <si>
    <t xml:space="preserve">Does Online Apartment Listing Volume Lead Price Changes?: The Role of Transaction Volume and a Comparison of Sale and Jeonse Markets</t>
  </si>
  <si>
    <t xml:space="preserve">https://doi.org/10.24957/hsr.2026.34.3.267</t>
  </si>
  <si>
    <t xml:space="preserve">p074</t>
  </si>
  <si>
    <t xml:space="preserve">Applications and Improvements of Real Estate Transaction Volume Statistics</t>
  </si>
  <si>
    <t xml:space="preserve">국토연구</t>
  </si>
  <si>
    <t xml:space="preserve">https://doi.org/10.15793/kspr.2009.62..006</t>
  </si>
  <si>
    <r>
      <rPr>
        <sz val="10"/>
        <rFont val="Arial"/>
        <family val="0"/>
        <charset val="1"/>
      </rPr>
      <t xml:space="preserve">F2 </t>
    </r>
    <r>
      <rPr>
        <sz val="10"/>
        <rFont val="WenQuanYi Zen Hei"/>
        <family val="2"/>
      </rPr>
      <t xml:space="preserve">측정 쟁점</t>
    </r>
  </si>
  <si>
    <t xml:space="preserve">p077</t>
  </si>
  <si>
    <t xml:space="preserve">Do Housing Trading Volume Explain Housing Prices or the Converse?</t>
  </si>
  <si>
    <t xml:space="preserve">https://doi.org/10.15793/kspr.2011.69..001</t>
  </si>
  <si>
    <t xml:space="preserve">p093</t>
  </si>
  <si>
    <t xml:space="preserve">The Relationship between Asymmetric Volatility and Trading Volume in the Korean Housing Market</t>
  </si>
  <si>
    <t xml:space="preserve">대한경영학회지</t>
  </si>
  <si>
    <t xml:space="preserve">https://doi.org/10.18032/kaaba.2017.30.11.1935</t>
  </si>
  <si>
    <t xml:space="preserve">p095</t>
  </si>
  <si>
    <t xml:space="preserve">Causality and Predictability of Price-Volume in Housing Market - Evidence from Seoul and Busan Housing Markets -</t>
  </si>
  <si>
    <t xml:space="preserve">SH Urban Research &amp; Insight</t>
  </si>
  <si>
    <t xml:space="preserve">https://doi.org/10.26700/shuri.2018.12.8.3.51</t>
  </si>
  <si>
    <t xml:space="preserve">p099</t>
  </si>
  <si>
    <t xml:space="preserve">Intervention Analysis of Apartment Trading Volume in Seoul, Korea</t>
  </si>
  <si>
    <t xml:space="preserve">Journal of Real Estate Analysis</t>
  </si>
  <si>
    <t xml:space="preserve">https://doi.org/10.30902/jrea.2018.4.1.85</t>
  </si>
  <si>
    <t xml:space="preserve">papers/p099.pdf</t>
  </si>
  <si>
    <t xml:space="preserve">p096</t>
  </si>
  <si>
    <t xml:space="preserve">W04</t>
  </si>
  <si>
    <t xml:space="preserve">Empirical Analyses of Factors Shaping the Relationship between Housing Price and Trading Volume based on Bounded Rationality</t>
  </si>
  <si>
    <t xml:space="preserve">https://doi.org/10.15793/kspr.2018.97..001</t>
  </si>
  <si>
    <t xml:space="preserve">p102</t>
  </si>
  <si>
    <t xml:space="preserve">A Study on the Impact of the Trading Volume on Prices &amp; Prices Volatility of Housing Market in Seoul and the Whole Country</t>
  </si>
  <si>
    <t xml:space="preserve">공공정책연구</t>
  </si>
  <si>
    <t xml:space="preserve">https://doi.org/10.37103/kapp.21.3.2</t>
  </si>
  <si>
    <t xml:space="preserve">p106</t>
  </si>
  <si>
    <t xml:space="preserve">A Study on the Dynamic Causal Relationship between Housing Price and Housing Trading Volume</t>
  </si>
  <si>
    <t xml:space="preserve">https://doi.org/10.22313/reik.2020.18.1.21</t>
  </si>
  <si>
    <t xml:space="preserve">p107</t>
  </si>
  <si>
    <t xml:space="preserve">A Study on the Interaction of Apartment Price and Transaction Volumein Seoul</t>
  </si>
  <si>
    <t xml:space="preserve">부동산학보</t>
  </si>
  <si>
    <t xml:space="preserve">https://doi.org/10.31303/krear.2020.83.53</t>
  </si>
  <si>
    <t xml:space="preserve">p108</t>
  </si>
  <si>
    <t xml:space="preserve">Behavioral Economic Analysis of Housing Transaction Volume</t>
  </si>
  <si>
    <t xml:space="preserve">부동산학연구</t>
  </si>
  <si>
    <t xml:space="preserve">https://doi.org/10.19172/kreaa.26.3.8</t>
  </si>
  <si>
    <t xml:space="preserve">p117</t>
  </si>
  <si>
    <t xml:space="preserve">A Study on the Monthly Effect of Apartment Price and Transaction Volume: Focusing on New Cities in the Metropolitan Area</t>
  </si>
  <si>
    <t xml:space="preserve">Journal of the Korea Academia-Industrial cooperation Society</t>
  </si>
  <si>
    <t xml:space="preserve">https://doi.org/10.5762/kais.2022.23.3.273</t>
  </si>
  <si>
    <t xml:space="preserve">p122</t>
  </si>
  <si>
    <t xml:space="preserve">A Study on the Causality of Housing Price and Trading by Cyclical Variation: Focused on Housing market of Seoul</t>
  </si>
  <si>
    <t xml:space="preserve">대한부동산학회지</t>
  </si>
  <si>
    <t xml:space="preserve">https://doi.org/10.37407/kres.2024.42.1.211</t>
  </si>
  <si>
    <t xml:space="preserve">p123</t>
  </si>
  <si>
    <t xml:space="preserve">Dynamic Relationship between Housing Sales Price and Transaction Volume by Housing Type in the Metropolitan Area</t>
  </si>
  <si>
    <t xml:space="preserve">The Journal of the Korea Contents Association</t>
  </si>
  <si>
    <t xml:space="preserve">https://doi.org/10.5392/jkca.2024.24.01.621</t>
  </si>
  <si>
    <t xml:space="preserve">p002</t>
  </si>
  <si>
    <t xml:space="preserve">W05</t>
  </si>
  <si>
    <t xml:space="preserve">The Duration of Marketing Time of Residential Housing</t>
  </si>
  <si>
    <t xml:space="preserve">Real Estate Economics</t>
  </si>
  <si>
    <t xml:space="preserve">https://doi.org/10.1111/1540-6229.00463</t>
  </si>
  <si>
    <r>
      <rPr>
        <sz val="10"/>
        <rFont val="Arial"/>
        <family val="0"/>
        <charset val="1"/>
      </rPr>
      <t xml:space="preserve">MLS </t>
    </r>
    <r>
      <rPr>
        <sz val="10"/>
        <rFont val="WenQuanYi Zen Hei"/>
        <family val="2"/>
      </rPr>
      <t xml:space="preserve">시장</t>
    </r>
  </si>
  <si>
    <t xml:space="preserve">도서관 전자저널</t>
  </si>
  <si>
    <r>
      <rPr>
        <sz val="10"/>
        <rFont val="WenQuanYi Zen Hei"/>
        <family val="2"/>
      </rPr>
      <t xml:space="preserve">가천대 도서관 로그인 후 </t>
    </r>
    <r>
      <rPr>
        <sz val="10"/>
        <rFont val="Arial"/>
        <family val="0"/>
        <charset val="1"/>
      </rPr>
      <t xml:space="preserve">DOI </t>
    </r>
    <r>
      <rPr>
        <sz val="10"/>
        <rFont val="WenQuanYi Zen Hei"/>
        <family val="2"/>
      </rPr>
      <t xml:space="preserve">링크로 접속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구독 안 되면 상호대차 신청</t>
    </r>
  </si>
  <si>
    <t xml:space="preserve">p003</t>
  </si>
  <si>
    <t xml:space="preserve">Measuring Residential Real Estate Liquidity</t>
  </si>
  <si>
    <t xml:space="preserve">https://doi.org/10.1111/1540-6229.00514</t>
  </si>
  <si>
    <t xml:space="preserve">p009</t>
  </si>
  <si>
    <t xml:space="preserve">Liquidating Real Estate Assets Quickly: What Affects the Probability of a Quick Sale?</t>
  </si>
  <si>
    <t xml:space="preserve">Journal of Real Estate Practice and Education</t>
  </si>
  <si>
    <t xml:space="preserve">https://doi.org/10.1080/10835547.2010.12091669</t>
  </si>
  <si>
    <t xml:space="preserve">p012</t>
  </si>
  <si>
    <t xml:space="preserve">Cross sectional Analysis of time on Market indicators for an Australian City</t>
  </si>
  <si>
    <t xml:space="preserve">Pacific Rim Property Research Journal</t>
  </si>
  <si>
    <t xml:space="preserve">https://doi.org/10.1080/14445921.2012.11104370</t>
  </si>
  <si>
    <t xml:space="preserve">p014</t>
  </si>
  <si>
    <t xml:space="preserve">Modelling a property's time to sale by inflating its previous selling price</t>
  </si>
  <si>
    <t xml:space="preserve">Journal of the Operational Research Society</t>
  </si>
  <si>
    <t xml:space="preserve">https://doi.org/10.1057/jors.2011.74</t>
  </si>
  <si>
    <t xml:space="preserve">p019</t>
  </si>
  <si>
    <t xml:space="preserve">Marketing Time and Sales Price of Residential Properties in Akure, Nigeria</t>
  </si>
  <si>
    <t xml:space="preserve">Journal of economics and sustainable development</t>
  </si>
  <si>
    <t xml:space="preserve">p128</t>
  </si>
  <si>
    <t xml:space="preserve">A Study on the Typology of the Busan Housing Market Considering Price Differentiation and Transaction Liquidity</t>
  </si>
  <si>
    <t xml:space="preserve">Korea Real Estate Society</t>
  </si>
  <si>
    <t xml:space="preserve">https://doi.org/10.37407/kres.2026.44.3.315</t>
  </si>
  <si>
    <r>
      <rPr>
        <sz val="10"/>
        <rFont val="Arial"/>
        <family val="0"/>
        <charset val="1"/>
      </rPr>
      <t xml:space="preserve">S5 </t>
    </r>
    <r>
      <rPr>
        <sz val="10"/>
        <rFont val="WenQuanYi Zen Hei"/>
        <family val="2"/>
      </rPr>
      <t xml:space="preserve">집계 상태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지수</t>
    </r>
  </si>
  <si>
    <t xml:space="preserve">p129</t>
  </si>
  <si>
    <t xml:space="preserve">Apartment Transaction Volume and Price Volatility: Construction and Application of a Transaction-Volume-Based Price Uncertainty Index</t>
  </si>
  <si>
    <t xml:space="preserve">Housing Finance Research</t>
  </si>
  <si>
    <t xml:space="preserve">https://doi.org/10.52344/hfr.2026.10.1.133</t>
  </si>
  <si>
    <t xml:space="preserve">papers/p129.pdf</t>
  </si>
  <si>
    <t xml:space="preserve">p004</t>
  </si>
  <si>
    <t xml:space="preserve">W06</t>
  </si>
  <si>
    <t xml:space="preserve">Censored Sample Bias, Macroeconomic Factors, and Time on Market of Residential Housing</t>
  </si>
  <si>
    <t xml:space="preserve">Journal of Real Estate Research</t>
  </si>
  <si>
    <t xml:space="preserve">https://doi.org/10.1080/10835547.1994.12090750</t>
  </si>
  <si>
    <t xml:space="preserve">p005</t>
  </si>
  <si>
    <t xml:space="preserve">Exploring Spatial Effects on Urban Housing Duration</t>
  </si>
  <si>
    <t xml:space="preserve">Environment and Planning A Economy and Space</t>
  </si>
  <si>
    <t xml:space="preserve">https://doi.org/10.1068/a35170</t>
  </si>
  <si>
    <r>
      <rPr>
        <sz val="10"/>
        <rFont val="WenQuanYi Zen Hei"/>
        <family val="2"/>
      </rPr>
      <t xml:space="preserve">비</t>
    </r>
    <r>
      <rPr>
        <sz val="10"/>
        <rFont val="Arial"/>
        <family val="0"/>
        <charset val="1"/>
      </rPr>
      <t xml:space="preserve">MLS </t>
    </r>
    <r>
      <rPr>
        <sz val="10"/>
        <rFont val="WenQuanYi Zen Hei"/>
        <family val="2"/>
      </rPr>
      <t xml:space="preserve">포털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중개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확인</t>
    </r>
    <r>
      <rPr>
        <sz val="10"/>
        <rFont val="Arial"/>
        <family val="0"/>
        <charset val="1"/>
      </rPr>
      <t xml:space="preserve">)</t>
    </r>
  </si>
  <si>
    <t xml:space="preserve">p006</t>
  </si>
  <si>
    <t xml:space="preserve">Submarket Dynamics of Time to Sale</t>
  </si>
  <si>
    <t xml:space="preserve">https://doi.org/10.1111/j.1540-6229.2006.00171.x</t>
  </si>
  <si>
    <t xml:space="preserve">p007</t>
  </si>
  <si>
    <t xml:space="preserve">The Probability of Sale for Residential Real Estate</t>
  </si>
  <si>
    <t xml:space="preserve">Journal of Housing Research</t>
  </si>
  <si>
    <t xml:space="preserve">https://doi.org/10.1080/10835547.2007.12091978</t>
  </si>
  <si>
    <t xml:space="preserve">p027</t>
  </si>
  <si>
    <t xml:space="preserve">A hybrid neural network for predicting Days on Market a measure of liquidity in real estate industry</t>
  </si>
  <si>
    <t xml:space="preserve">Knowledge-Based Systems</t>
  </si>
  <si>
    <t xml:space="preserve">https://doi.org/10.1016/j.knosys.2020.106417</t>
  </si>
  <si>
    <r>
      <rPr>
        <sz val="10"/>
        <rFont val="Arial"/>
        <family val="0"/>
        <charset val="1"/>
      </rPr>
      <t xml:space="preserve">MLS </t>
    </r>
    <r>
      <rPr>
        <sz val="10"/>
        <rFont val="WenQuanYi Zen Hei"/>
        <family val="2"/>
      </rPr>
      <t xml:space="preserve">시장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확인</t>
    </r>
    <r>
      <rPr>
        <sz val="10"/>
        <rFont val="Arial"/>
        <family val="0"/>
        <charset val="1"/>
      </rPr>
      <t xml:space="preserve">)</t>
    </r>
  </si>
  <si>
    <t xml:space="preserve">p028</t>
  </si>
  <si>
    <t xml:space="preserve">Key determinants of time on the market: an analysis of residential housing market in Sri Lanka</t>
  </si>
  <si>
    <t xml:space="preserve">International Journal of Housing Markets and Analysis</t>
  </si>
  <si>
    <t xml:space="preserve">https://doi.org/10.1108/ijhma-06-2020-0071</t>
  </si>
  <si>
    <t xml:space="preserve">p032</t>
  </si>
  <si>
    <t xml:space="preserve">The Impacts of Property Features on Time on Market of Real Estate Assets in Lagos Metropolis, Nigeria</t>
  </si>
  <si>
    <t xml:space="preserve">UNIOSUN Journal of Engineering and Environmental Sciences</t>
  </si>
  <si>
    <t xml:space="preserve">https://doi.org/10.36108/ujees/2202.40.0210</t>
  </si>
  <si>
    <r>
      <rPr>
        <sz val="10"/>
        <rFont val="WenQuanYi Zen Hei"/>
        <family val="2"/>
      </rPr>
      <t xml:space="preserve">무료 원문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직접 받기</t>
    </r>
    <r>
      <rPr>
        <sz val="10"/>
        <rFont val="Arial"/>
        <family val="0"/>
        <charset val="1"/>
      </rPr>
      <t xml:space="preserve">)</t>
    </r>
  </si>
  <si>
    <t xml:space="preserve">https://ujees.com.ng/publication/vol_4/issue_2/Article_1.pdf</t>
  </si>
  <si>
    <t xml:space="preserve">p105</t>
  </si>
  <si>
    <t xml:space="preserve">The Repeat Time-On-The-Market Index</t>
  </si>
  <si>
    <t xml:space="preserve">Journal of Urban Economics</t>
  </si>
  <si>
    <t xml:space="preserve">https://doi.org/10.1016/j.jue.2019.04.005</t>
  </si>
  <si>
    <t xml:space="preserve">p008</t>
  </si>
  <si>
    <t xml:space="preserve">W07</t>
  </si>
  <si>
    <t xml:space="preserve">Spatial Heterogeneity in Listing Duration: The Influence of Relative Location to Marketability</t>
  </si>
  <si>
    <t xml:space="preserve">https://doi.org/10.1080/10835547.2009.12092005</t>
  </si>
  <si>
    <t xml:space="preserve">p011</t>
  </si>
  <si>
    <t xml:space="preserve">Are homes hot or cold potatoes? The distribution of marketing time in the housing market</t>
  </si>
  <si>
    <t xml:space="preserve">Regional Science and Urban Economics</t>
  </si>
  <si>
    <t xml:space="preserve">https://doi.org/10.1016/j.regsciurbeco.2011.08.010</t>
  </si>
  <si>
    <t xml:space="preserve">p015</t>
  </si>
  <si>
    <t xml:space="preserve">Days on market and home sales</t>
  </si>
  <si>
    <t xml:space="preserve">The RAND Journal of Economics</t>
  </si>
  <si>
    <t xml:space="preserve">https://doi.org/10.1111/1756-2171.12022</t>
  </si>
  <si>
    <t xml:space="preserve">p016</t>
  </si>
  <si>
    <t xml:space="preserve">The Probability of Sale and Price Premiums in Withdrawn Auctioned Properties*</t>
  </si>
  <si>
    <t xml:space="preserve">Urban Studies</t>
  </si>
  <si>
    <t xml:space="preserve">https://doi.org/10.1177/0042098014529341</t>
  </si>
  <si>
    <t xml:space="preserve">경매 시장</t>
  </si>
  <si>
    <t xml:space="preserve">p017</t>
  </si>
  <si>
    <t xml:space="preserve">Does Time-on-Market Measurement Matter?</t>
  </si>
  <si>
    <t xml:space="preserve">The Journal of Real Estate Finance and Economics</t>
  </si>
  <si>
    <t xml:space="preserve">https://doi.org/10.1007/s11146-013-9450-z</t>
  </si>
  <si>
    <t xml:space="preserve">p018</t>
  </si>
  <si>
    <t xml:space="preserve">For sale… but for how long? a methodological proposal for estimating time-on-the-market</t>
  </si>
  <si>
    <t xml:space="preserve">International Journal of Strategic Property Management</t>
  </si>
  <si>
    <t xml:space="preserve">https://doi.org/10.3846/1648715x.2015.1072746</t>
  </si>
  <si>
    <t xml:space="preserve">https://journals.vgtu.lt/index.php/IJSPM/article/download/2130/1722</t>
  </si>
  <si>
    <t xml:space="preserve">p020</t>
  </si>
  <si>
    <t xml:space="preserve">The Effect of Relisting on House Selling Price</t>
  </si>
  <si>
    <t xml:space="preserve">Journal of real estate finance and economics</t>
  </si>
  <si>
    <t xml:space="preserve">https://doi.org/10.1007/s11146-015-9503-6</t>
  </si>
  <si>
    <t xml:space="preserve">p021</t>
  </si>
  <si>
    <t xml:space="preserve">A Spatiotemporal Solution for the Simultaneous Sale Price and Time‐on‐the‐Market Problem</t>
  </si>
  <si>
    <t xml:space="preserve">https://doi.org/10.1111/1540-6229.12121</t>
  </si>
  <si>
    <t xml:space="preserve">p010</t>
  </si>
  <si>
    <t xml:space="preserve">W08</t>
  </si>
  <si>
    <t xml:space="preserve">Housing price, trading volume and time on market [title garbled in source; verify in IRER 2011]</t>
  </si>
  <si>
    <t xml:space="preserve">International Real Estate Review</t>
  </si>
  <si>
    <t xml:space="preserve">https://doi.org/10.53383/100144</t>
  </si>
  <si>
    <t xml:space="preserve">p022</t>
  </si>
  <si>
    <t xml:space="preserve">Measuring the influence of space and time effects on time on the market</t>
  </si>
  <si>
    <t xml:space="preserve">https://doi.org/10.1177/0042098015596923</t>
  </si>
  <si>
    <t xml:space="preserve">p029</t>
  </si>
  <si>
    <t xml:space="preserve">Solving Old Puzzles with New Tricks: Addressing Endogeneity and Nonlinearity in Time-on-Market Research</t>
  </si>
  <si>
    <t xml:space="preserve">https://doi.org/10.1080/08965803.2020.1844476</t>
  </si>
  <si>
    <t xml:space="preserve">p031</t>
  </si>
  <si>
    <t xml:space="preserve">Time on the Market and Probability of Sale Using a Generalized Geometric Hazard Model</t>
  </si>
  <si>
    <t xml:space="preserve">Journal of Econometric Methods</t>
  </si>
  <si>
    <t xml:space="preserve">https://doi.org/10.1515/jem-2020-0017</t>
  </si>
  <si>
    <t xml:space="preserve">p033</t>
  </si>
  <si>
    <t xml:space="preserve">Modeling home property listings’ time-on-market duration and listing outcome using copula-based competing risk method</t>
  </si>
  <si>
    <t xml:space="preserve">Journal of Transport and Land Use</t>
  </si>
  <si>
    <t xml:space="preserve">https://doi.org/10.5198/jtlu.2024.2447</t>
  </si>
  <si>
    <t xml:space="preserve">p037</t>
  </si>
  <si>
    <t xml:space="preserve">Understanding Housing Market Dynamics through a Joint Model of Time-on-Market Duration and Listing Outcome of Residential Property Listings</t>
  </si>
  <si>
    <t xml:space="preserve">Journal of urban planning and development</t>
  </si>
  <si>
    <t xml:space="preserve">https://doi.org/10.1061/jupddm.upeng-5857</t>
  </si>
  <si>
    <t xml:space="preserve">p038</t>
  </si>
  <si>
    <t xml:space="preserve">Listing Price, Time on Market, and Ultimate Selling Price: Causes and Effects of Listing Price Changes</t>
  </si>
  <si>
    <t xml:space="preserve">https://doi.org/10.1111/1540-6229.00038</t>
  </si>
  <si>
    <t xml:space="preserve">p044</t>
  </si>
  <si>
    <t xml:space="preserve">Asymmetric information and list-price reductions in the housing market</t>
  </si>
  <si>
    <t xml:space="preserve">https://doi.org/10.1016/j.regsciurbeco.2013.03.001</t>
  </si>
  <si>
    <t xml:space="preserve">p026</t>
  </si>
  <si>
    <t xml:space="preserve">W09</t>
  </si>
  <si>
    <t xml:space="preserve">The influence of house, seller, and locational factors on the probability of sale</t>
  </si>
  <si>
    <t xml:space="preserve">Journal of Housing Economics</t>
  </si>
  <si>
    <t xml:space="preserve">https://doi.org/10.1016/j.jhe.2018.09.009</t>
  </si>
  <si>
    <t xml:space="preserve">p030</t>
  </si>
  <si>
    <t xml:space="preserve">Average time to sell a property and credit conditions: Evidence from the Italian housing market survey</t>
  </si>
  <si>
    <t xml:space="preserve">Bulletin of Economic Research</t>
  </si>
  <si>
    <t xml:space="preserve">https://doi.org/10.1111/boer.12284</t>
  </si>
  <si>
    <t xml:space="preserve">p034</t>
  </si>
  <si>
    <t xml:space="preserve">Apartment prices, the business cycle and time on market: Evidence from Bucharest</t>
  </si>
  <si>
    <t xml:space="preserve">https://doi.org/10.3846/ijspm.2025.23319</t>
  </si>
  <si>
    <t xml:space="preserve">p036</t>
  </si>
  <si>
    <t xml:space="preserve">Liquidity in housing markets: the effect of news sentiment on time on market</t>
  </si>
  <si>
    <t xml:space="preserve">Journal of European Real Estate Research</t>
  </si>
  <si>
    <t xml:space="preserve">https://doi.org/10.1108/jerer-12-2025-0098</t>
  </si>
  <si>
    <t xml:space="preserve">https://www.emerald.com/jerer/article-pdf/doi/10.1108/JERER-12-2025-0098/11860165/jerer-12-2025-0098en.pdf</t>
  </si>
  <si>
    <t xml:space="preserve">p041</t>
  </si>
  <si>
    <t xml:space="preserve">Measuring price expectations</t>
  </si>
  <si>
    <t xml:space="preserve">https://doi.org/10.1108/17539260910978481</t>
  </si>
  <si>
    <t xml:space="preserve">p046</t>
  </si>
  <si>
    <t xml:space="preserve">Comparing alternative house price indices: evidence from asking prices in Malta</t>
  </si>
  <si>
    <t xml:space="preserve">https://doi.org/10.1108/17538271311306048</t>
  </si>
  <si>
    <t xml:space="preserve">p051</t>
  </si>
  <si>
    <t xml:space="preserve">The Effect of Listing Price Changes on the Selling Price of Single-Family Residential Homes</t>
  </si>
  <si>
    <t xml:space="preserve">https://doi.org/10.1007/s11146-016-9558-z</t>
  </si>
  <si>
    <t xml:space="preserve">p057</t>
  </si>
  <si>
    <t xml:space="preserve">Signaling effects of recurrent list‐price reductions on the likelihood of house sales</t>
  </si>
  <si>
    <t xml:space="preserve">The Journal of Financial Research</t>
  </si>
  <si>
    <t xml:space="preserve">https://doi.org/10.1111/jfir.12308</t>
  </si>
  <si>
    <t xml:space="preserve">https://onlinelibrary.wiley.com/doi/pdfdirect/10.1111/jfir.12308</t>
  </si>
  <si>
    <t xml:space="preserve">p043</t>
  </si>
  <si>
    <t xml:space="preserve">W10</t>
  </si>
  <si>
    <t xml:space="preserve">Bidding Conventions and the Degree of Overpricing in the Market for Houses</t>
  </si>
  <si>
    <t xml:space="preserve">https://doi.org/10.1177/0042098010363496</t>
  </si>
  <si>
    <t xml:space="preserve">p048</t>
  </si>
  <si>
    <t xml:space="preserve">The Comparative Analysis Of Asking And Traded Price Indices In Different Floor Area Subsegments Of The Residential Property Market</t>
  </si>
  <si>
    <t xml:space="preserve">Real Estate Management and Valuation</t>
  </si>
  <si>
    <t xml:space="preserve">https://doi.org/10.1515/remav-2015-0021</t>
  </si>
  <si>
    <t xml:space="preserve">papers/p048.pdf</t>
  </si>
  <si>
    <t xml:space="preserve">p049</t>
  </si>
  <si>
    <t xml:space="preserve">Dynamic and Static Asking Prices in the Sydney Housing Market</t>
  </si>
  <si>
    <t xml:space="preserve">Economic Record</t>
  </si>
  <si>
    <t xml:space="preserve">https://doi.org/10.1111/1475-4932.12242</t>
  </si>
  <si>
    <t xml:space="preserve">p052</t>
  </si>
  <si>
    <t xml:space="preserve">A More Timely House Price Index</t>
  </si>
  <si>
    <t xml:space="preserve">Review of Economics and Statistics</t>
  </si>
  <si>
    <t xml:space="preserve">https://doi.org/10.1162/rest_a_00634</t>
  </si>
  <si>
    <t xml:space="preserve">p054</t>
  </si>
  <si>
    <t xml:space="preserve">House price index based on online listing information: The case of China</t>
  </si>
  <si>
    <t xml:space="preserve">https://doi.org/10.1016/j.jhe.2020.101715</t>
  </si>
  <si>
    <t xml:space="preserve">p056</t>
  </si>
  <si>
    <t xml:space="preserve">Early Real Estate Indicators during the COVID-19 Crisis</t>
  </si>
  <si>
    <t xml:space="preserve">Journal of Official Statistics</t>
  </si>
  <si>
    <t xml:space="preserve">https://doi.org/10.2478/jos-2022-0017</t>
  </si>
  <si>
    <t xml:space="preserve">papers/p056.pdf</t>
  </si>
  <si>
    <t xml:space="preserve">p060</t>
  </si>
  <si>
    <t xml:space="preserve">Web-scraping housing prices in real-time: The Covid-19 crisis in the UK</t>
  </si>
  <si>
    <t xml:space="preserve">https://doi.org/10.1016/j.jhe.2022.101906</t>
  </si>
  <si>
    <t xml:space="preserve">https://amu.hal.science/hal-04064185/document</t>
  </si>
  <si>
    <t xml:space="preserve">p112</t>
  </si>
  <si>
    <t xml:space="preserve">A Housing Supply Absorption Rate Equation</t>
  </si>
  <si>
    <t xml:space="preserve">https://doi.org/10.1007/s11146-020-09815-z</t>
  </si>
  <si>
    <t xml:space="preserve">p001</t>
  </si>
  <si>
    <t xml:space="preserve">W11</t>
  </si>
  <si>
    <t xml:space="preserve">An Investigation of the Major Influences of Residential Liquidity: A Multivariate Approach</t>
  </si>
  <si>
    <t xml:space="preserve">https://doi.org/10.1111/1540-6229.00410</t>
  </si>
  <si>
    <t xml:space="preserve">p039</t>
  </si>
  <si>
    <t xml:space="preserve">Bargaining over residential real estate: evidence from England</t>
  </si>
  <si>
    <t xml:space="preserve">https://doi.org/10.1016/j.jue.2004.05.004</t>
  </si>
  <si>
    <t xml:space="preserve">p053</t>
  </si>
  <si>
    <t xml:space="preserve">Can list prices accurately capture housing price trends? Insights from extreme markets conditions</t>
  </si>
  <si>
    <t xml:space="preserve">Finance Research Letters</t>
  </si>
  <si>
    <t xml:space="preserve">https://doi.org/10.1016/j.frl.2018.10.004</t>
  </si>
  <si>
    <t xml:space="preserve">p062</t>
  </si>
  <si>
    <t xml:space="preserve">List prices and “hot” real estate markets</t>
  </si>
  <si>
    <t xml:space="preserve">https://doi.org/10.1111/1540-6229.70013</t>
  </si>
  <si>
    <t xml:space="preserve">p070</t>
  </si>
  <si>
    <t xml:space="preserve">The Inventory–Sales Relationship in the Market for New Single‐Family Homes</t>
  </si>
  <si>
    <t xml:space="preserve">https://doi.org/10.1111/j.1080-8620.2004.00106.x</t>
  </si>
  <si>
    <t xml:space="preserve">p071</t>
  </si>
  <si>
    <t xml:space="preserve">Running hot and cold in the urban home-ownership market: The experience of Japan?s major cities</t>
  </si>
  <si>
    <t xml:space="preserve">Journal of Housing and the Built Environment</t>
  </si>
  <si>
    <t xml:space="preserve">https://doi.org/10.1007/s10901-005-6762-1</t>
  </si>
  <si>
    <t xml:space="preserve">p084</t>
  </si>
  <si>
    <t xml:space="preserve">To Sell or Not to Sell: Measuring the Heat of the Housing Market</t>
  </si>
  <si>
    <t xml:space="preserve">https://doi.org/10.1111/reec.12003</t>
  </si>
  <si>
    <t xml:space="preserve">p100</t>
  </si>
  <si>
    <t xml:space="preserve">Market depth in the UK housing market</t>
  </si>
  <si>
    <t xml:space="preserve">Economic Research-Ekonomska Istraživanja</t>
  </si>
  <si>
    <t xml:space="preserve">https://doi.org/10.1080/1331677x.2018.1429289</t>
  </si>
  <si>
    <t xml:space="preserve">https://www.tandfonline.com/doi/pdf/10.1080/1331677X.2018.1429289?needAccess=true</t>
  </si>
  <si>
    <t xml:space="preserve">p024</t>
  </si>
  <si>
    <t xml:space="preserve">W12</t>
  </si>
  <si>
    <t xml:space="preserve">Liquidity Imbalance in the Residential Real Estate Market</t>
  </si>
  <si>
    <t xml:space="preserve">https://doi.org/10.1080/10527001.2020.1776513</t>
  </si>
  <si>
    <t xml:space="preserve">p079</t>
  </si>
  <si>
    <t xml:space="preserve">Integrating Real Estate Market Conditions into Home Price Forecasting Systems</t>
  </si>
  <si>
    <t xml:space="preserve">https://doi.org/10.1080/10835547.2012.12092059</t>
  </si>
  <si>
    <t xml:space="preserve">p087</t>
  </si>
  <si>
    <t xml:space="preserve">Can Tightness in the Housing Market Help Predict Subsequent Home Price Appreciation? Evidence from the United States and the Netherlands</t>
  </si>
  <si>
    <t xml:space="preserve">https://doi.org/10.1111/1540-6229.12082</t>
  </si>
  <si>
    <t xml:space="preserve">p088</t>
  </si>
  <si>
    <t xml:space="preserve">Expectation, volatility and liquidity in the housing market</t>
  </si>
  <si>
    <t xml:space="preserve">Applied Economics</t>
  </si>
  <si>
    <t xml:space="preserve">https://doi.org/10.1080/00036846.2015.1023943</t>
  </si>
  <si>
    <t xml:space="preserve">p090</t>
  </si>
  <si>
    <t xml:space="preserve">Does liquidity affect housing market performance? An empirical study with spatial panel approach</t>
  </si>
  <si>
    <t xml:space="preserve">Land Use Policy</t>
  </si>
  <si>
    <t xml:space="preserve">https://doi.org/10.1016/j.landusepol.2016.05.008</t>
  </si>
  <si>
    <t xml:space="preserve">p110</t>
  </si>
  <si>
    <t xml:space="preserve">Hot and cold seasons in Texas housing markets</t>
  </si>
  <si>
    <t xml:space="preserve">https://doi.org/10.1108/ijhma-02-2020-0017</t>
  </si>
  <si>
    <t xml:space="preserve">https://scholarsphere.psu.edu/resources/8b45d64c-36f4-4294-a0a6-50926994da05/downloads/15638</t>
  </si>
  <si>
    <t xml:space="preserve">p111</t>
  </si>
  <si>
    <t xml:space="preserve">Liquidity and prices: a cluster analysis of the German residential real estate market</t>
  </si>
  <si>
    <t xml:space="preserve">Journal of Business Economics</t>
  </si>
  <si>
    <t xml:space="preserve">https://doi.org/10.1007/s11573-020-00990-2</t>
  </si>
  <si>
    <t xml:space="preserve">https://link.springer.com/content/pdf/10.1007/s11573-020-00990-2.pdf</t>
  </si>
  <si>
    <t xml:space="preserve">p124</t>
  </si>
  <si>
    <t xml:space="preserve">Local Constant-Quality Housing Market Liquidity Indices</t>
  </si>
  <si>
    <t xml:space="preserve">https://doi.org/10.1016/j.regsciurbeco.2024.103997</t>
  </si>
  <si>
    <t xml:space="preserve">p045</t>
  </si>
  <si>
    <t xml:space="preserve">W13</t>
  </si>
  <si>
    <t xml:space="preserve">Bidding Wars for Houses</t>
  </si>
  <si>
    <t xml:space="preserve">https://doi.org/10.1111/reec.12015</t>
  </si>
  <si>
    <t xml:space="preserve">p055</t>
  </si>
  <si>
    <t xml:space="preserve">Properties that Sell at or above Listing Price: Strategic Pricing, Better Broker or Just Dumb Luck?</t>
  </si>
  <si>
    <t xml:space="preserve">https://doi.org/10.1007/s11146-019-09714-y</t>
  </si>
  <si>
    <t xml:space="preserve">p061</t>
  </si>
  <si>
    <t xml:space="preserve">Machine Learning Insights: Exploring Key Factors Influencing Sale-to-List Ratio—Insights from SVM Classification and Recursive Feature Selection in the US Real Estate Market</t>
  </si>
  <si>
    <t xml:space="preserve">Buildings</t>
  </si>
  <si>
    <t xml:space="preserve">https://doi.org/10.3390/buildings14051471</t>
  </si>
  <si>
    <t xml:space="preserve">p064</t>
  </si>
  <si>
    <t xml:space="preserve">Dynamic hierarchical network-based framework for constructing a predictive index of offer–listing price differences in real estate E-commerce</t>
  </si>
  <si>
    <t xml:space="preserve">Electronic Commerce Research</t>
  </si>
  <si>
    <t xml:space="preserve">https://doi.org/10.1007/s10660-026-10107-6</t>
  </si>
  <si>
    <t xml:space="preserve">p065</t>
  </si>
  <si>
    <t xml:space="preserve">Incorporating the Number of Existing Home Sales into a Structural Model of the Market for Owner-Occupied Housing</t>
  </si>
  <si>
    <t xml:space="preserve">https://doi.org/10.1006/jhec.1995.1005</t>
  </si>
  <si>
    <t xml:space="preserve">p066</t>
  </si>
  <si>
    <t xml:space="preserve">Price spreads and residential housing market liquidity</t>
  </si>
  <si>
    <t xml:space="preserve">https://doi.org/10.1007/bf01099111</t>
  </si>
  <si>
    <t xml:space="preserve">http://libres.uncg.edu/ir/uncg/f/D_Winkler_Price_1995.pdf</t>
  </si>
  <si>
    <t xml:space="preserve">p118</t>
  </si>
  <si>
    <t xml:space="preserve">Time‐varying impacts of expectations on housing markets across hot and cold phases</t>
  </si>
  <si>
    <t xml:space="preserve">International Finance</t>
  </si>
  <si>
    <t xml:space="preserve">https://doi.org/10.1111/infi.12408</t>
  </si>
  <si>
    <r>
      <rPr>
        <sz val="10"/>
        <rFont val="WenQuanYi Zen Hei"/>
        <family val="2"/>
      </rPr>
      <t xml:space="preserve">복수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불명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확인</t>
    </r>
    <r>
      <rPr>
        <sz val="10"/>
        <rFont val="Arial"/>
        <family val="0"/>
        <charset val="1"/>
      </rPr>
      <t xml:space="preserve">)</t>
    </r>
  </si>
  <si>
    <t xml:space="preserve">p131</t>
  </si>
  <si>
    <t xml:space="preserve">Frozen Markets, Falling Prices: Illiquidity and Bounded Price Discovery in U.S. Neighborhood Housing Markets</t>
  </si>
  <si>
    <t xml:space="preserve">https://doi.org/10.1007/s11146-026-10080-9</t>
  </si>
  <si>
    <t xml:space="preserve">p040</t>
  </si>
  <si>
    <t xml:space="preserve">W14</t>
  </si>
  <si>
    <t xml:space="preserve">Estimating House Price Indexes in the Presence of Seller Reservation Prices</t>
  </si>
  <si>
    <t xml:space="preserve">https://doi.org/10.1162/003465306775565783</t>
  </si>
  <si>
    <t xml:space="preserve">p050</t>
  </si>
  <si>
    <t xml:space="preserve">House prices at different stages of the buying/selling process</t>
  </si>
  <si>
    <t xml:space="preserve">https://doi.org/10.1016/j.regsciurbeco.2016.04.001</t>
  </si>
  <si>
    <t xml:space="preserve">papers/p050.pdf</t>
  </si>
  <si>
    <t xml:space="preserve">p059</t>
  </si>
  <si>
    <t xml:space="preserve">Interpretation and measurement of the spread between asking and selling prices in the Italian residential market [Interpretazione e misura dello spread tra prezzi richiesti e prezzi di vendita nel mercato residenziale italiano]</t>
  </si>
  <si>
    <t xml:space="preserve">Valori e Valutazioni</t>
  </si>
  <si>
    <t xml:space="preserve">https://doi.org/10.48264/vvsiev-20223102</t>
  </si>
  <si>
    <t xml:space="preserve">papers/p059.pdf</t>
  </si>
  <si>
    <t xml:space="preserve">p067</t>
  </si>
  <si>
    <t xml:space="preserve">Forecasting Connecticut home sales in a BVAR framework using coincident and leading indexes</t>
  </si>
  <si>
    <t xml:space="preserve">https://doi.org/10.1007/bf00217392</t>
  </si>
  <si>
    <t xml:space="preserve">p068</t>
  </si>
  <si>
    <t xml:space="preserve">Using Leading Indicators to Forecast U.S. Home Sales in a Bayesian Vector Autoregressive Framework</t>
  </si>
  <si>
    <t xml:space="preserve">https://doi.org/10.1023/a:1007718725609</t>
  </si>
  <si>
    <t xml:space="preserve">p069</t>
  </si>
  <si>
    <t xml:space="preserve">Testing Alternative Theories of the Property Price-Trading Volume Correlation</t>
  </si>
  <si>
    <t xml:space="preserve">https://doi.org/10.1080/10835547.2002.12091081</t>
  </si>
  <si>
    <t xml:space="preserve">p072</t>
  </si>
  <si>
    <t xml:space="preserve">Trading Volume and Price Dispersion in Housing Markets</t>
  </si>
  <si>
    <t xml:space="preserve">Journal of Property Research</t>
  </si>
  <si>
    <t xml:space="preserve">https://doi.org/10.1080/09599910802696615</t>
  </si>
  <si>
    <t xml:space="preserve">p097</t>
  </si>
  <si>
    <t xml:space="preserve">Home Sales Pair Counts: The&lt;i&gt;Organic&lt;/i&gt;Metric for Trading Volume in Housing Markets</t>
  </si>
  <si>
    <t xml:space="preserve">https://doi.org/10.1111/1540-6229.12269</t>
  </si>
  <si>
    <t xml:space="preserve">p042</t>
  </si>
  <si>
    <t xml:space="preserve">W15</t>
  </si>
  <si>
    <t xml:space="preserve">List price and sale price variation across the housing market cycle</t>
  </si>
  <si>
    <t xml:space="preserve">https://doi.org/10.1108/17538271011049731</t>
  </si>
  <si>
    <t xml:space="preserve">p047</t>
  </si>
  <si>
    <t xml:space="preserve">List price and sales prices of residential properties during booms and busts</t>
  </si>
  <si>
    <t xml:space="preserve">https://doi.org/10.1016/j.jhe.2013.01.003</t>
  </si>
  <si>
    <t xml:space="preserve">p073</t>
  </si>
  <si>
    <t xml:space="preserve">Transaction Volume and Price Dispersion in the Presale and Spot Real Estate Markets</t>
  </si>
  <si>
    <t xml:space="preserve">https://doi.org/10.1007/s11146-008-9161-z</t>
  </si>
  <si>
    <t xml:space="preserve">p075</t>
  </si>
  <si>
    <t xml:space="preserve">Housing Price Dynamics in Time and Space: Predictability, Liquidity and Investor Returns</t>
  </si>
  <si>
    <t xml:space="preserve">https://doi.org/10.1007/s11146-009-9207-x</t>
  </si>
  <si>
    <t xml:space="preserve">https://link.springer.com/content/pdf/10.1007/s11146-009-9207-x.pdf</t>
  </si>
  <si>
    <t xml:space="preserve">p076</t>
  </si>
  <si>
    <t xml:space="preserve">Could We Have Predicted the Recent Downturn in Home Sales in the Four U.S. Census Regions?</t>
  </si>
  <si>
    <t xml:space="preserve">https://doi.org/10.1080/10835547.2010.12092026</t>
  </si>
  <si>
    <t xml:space="preserve">p078</t>
  </si>
  <si>
    <t xml:space="preserve">The Economic Impact of Anticipated House Price Changes—Evidence from Home Sales</t>
  </si>
  <si>
    <t xml:space="preserve">https://doi.org/10.1111/j.1540-6229.2010.00292.x</t>
  </si>
  <si>
    <t xml:space="preserve">p080</t>
  </si>
  <si>
    <t xml:space="preserve">Trading Volume-Induced Spatial Autocorrelation in Real Estate Prices</t>
  </si>
  <si>
    <t xml:space="preserve">https://doi.org/10.1007/s11146-012-9375-y</t>
  </si>
  <si>
    <t xml:space="preserve">https://link.springer.com/content/pdf/10.1007/s11146-012-9375-y.pdf</t>
  </si>
  <si>
    <t xml:space="preserve">p081</t>
  </si>
  <si>
    <t xml:space="preserve">Housing prices and transaction volume</t>
  </si>
  <si>
    <t xml:space="preserve">https://doi.org/10.1016/j.jhe.2013.02.001</t>
  </si>
  <si>
    <t xml:space="preserve">papers/p081.pdf</t>
  </si>
  <si>
    <r>
      <rPr>
        <sz val="10"/>
        <rFont val="WenQuanYi Zen Hei"/>
        <family val="2"/>
      </rPr>
      <t xml:space="preserve">받은 파일은 </t>
    </r>
    <r>
      <rPr>
        <sz val="10"/>
        <rFont val="Arial"/>
        <family val="0"/>
        <charset val="1"/>
      </rPr>
      <t xml:space="preserve">MPRA </t>
    </r>
    <r>
      <rPr>
        <sz val="10"/>
        <rFont val="WenQuanYi Zen Hei"/>
        <family val="2"/>
      </rPr>
      <t xml:space="preserve">워킹페이퍼판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인용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쪽수는 </t>
    </r>
    <r>
      <rPr>
        <sz val="10"/>
        <rFont val="Arial"/>
        <family val="0"/>
        <charset val="1"/>
      </rPr>
      <t xml:space="preserve">JHE </t>
    </r>
    <r>
      <rPr>
        <sz val="10"/>
        <rFont val="WenQuanYi Zen Hei"/>
        <family val="2"/>
      </rPr>
      <t xml:space="preserve">게재본으로 다시 확인</t>
    </r>
  </si>
  <si>
    <t xml:space="preserve">p082</t>
  </si>
  <si>
    <t xml:space="preserve">W16</t>
  </si>
  <si>
    <t xml:space="preserve">Price and transaction volume in the Dutch housing market</t>
  </si>
  <si>
    <t xml:space="preserve">https://doi.org/10.1016/j.regsciurbeco.2012.07.002</t>
  </si>
  <si>
    <t xml:space="preserve">papers/p082.pdf</t>
  </si>
  <si>
    <t xml:space="preserve">p083</t>
  </si>
  <si>
    <t xml:space="preserve">The Relationship between Trading Volume and Purchase Price Index Volatility in Apartment Market</t>
  </si>
  <si>
    <t xml:space="preserve">Global Business Administration Review</t>
  </si>
  <si>
    <t xml:space="preserve">https://doi.org/10.17092/jibr.2013.10.1.159</t>
  </si>
  <si>
    <t xml:space="preserve">p085</t>
  </si>
  <si>
    <t xml:space="preserve">Ripple effect in house prices and trading volume in the UK housing market: New viewpoint and evidence</t>
  </si>
  <si>
    <t xml:space="preserve">Economic Modelling</t>
  </si>
  <si>
    <t xml:space="preserve">https://doi.org/10.1016/j.econmod.2014.03.026</t>
  </si>
  <si>
    <t xml:space="preserve">p086</t>
  </si>
  <si>
    <t xml:space="preserve">Anticipated vs. unanticipated house price movements and transaction volume</t>
  </si>
  <si>
    <t xml:space="preserve">https://doi.org/10.1016/j.jhe.2015.04.003</t>
  </si>
  <si>
    <t xml:space="preserve">papers/p086.pdf</t>
  </si>
  <si>
    <t xml:space="preserve">p098</t>
  </si>
  <si>
    <t xml:space="preserve">INFORMATION CONTENT OF TRANSACTION VOLUME: THE HOUSING MARKET IN THE UNITED KINGDOM</t>
  </si>
  <si>
    <t xml:space="preserve">https://doi.org/10.3846/ijspm.2018.5219</t>
  </si>
  <si>
    <t xml:space="preserve">https://journals.vgtu.lt/index.php/IJSPM/article/download/5219/4510</t>
  </si>
  <si>
    <t xml:space="preserve">p101</t>
  </si>
  <si>
    <t xml:space="preserve">The cause and outcomes of the ripple effect: housing prices and transaction volume</t>
  </si>
  <si>
    <t xml:space="preserve">The annals of regional science</t>
  </si>
  <si>
    <t xml:space="preserve">https://doi.org/10.1007/s00168-018-0870-9</t>
  </si>
  <si>
    <t xml:space="preserve">p113</t>
  </si>
  <si>
    <t xml:space="preserve">Features of the ripple effect in the US regional housing markets: a viewpoint of nonsynchronous trading</t>
  </si>
  <si>
    <t xml:space="preserve">https://doi.org/10.1080/12265934.2021.1925142</t>
  </si>
  <si>
    <t xml:space="preserve">p114</t>
  </si>
  <si>
    <t xml:space="preserve">Forecasting trading volume in local housing markets through a time-series model and a deep learning algorithm</t>
  </si>
  <si>
    <t xml:space="preserve">Engineering Construction &amp; Architectural Management</t>
  </si>
  <si>
    <t xml:space="preserve">https://doi.org/10.1108/ecam-10-2020-0850</t>
  </si>
  <si>
    <t xml:space="preserve">p116</t>
  </si>
  <si>
    <t xml:space="preserve">W17</t>
  </si>
  <si>
    <t xml:space="preserve">Housing market spillovers through the lens of transaction volume: A new spillover index approach</t>
  </si>
  <si>
    <t xml:space="preserve">Journal of Empirical Finance</t>
  </si>
  <si>
    <t xml:space="preserve">https://doi.org/10.1016/j.jempfin.2021.10.003</t>
  </si>
  <si>
    <t xml:space="preserve">papers/p116.pdf</t>
  </si>
  <si>
    <t xml:space="preserve">p120</t>
  </si>
  <si>
    <t xml:space="preserve">House price seasonality, market activity, and the December discount</t>
  </si>
  <si>
    <t xml:space="preserve">https://doi.org/10.1111/1540-6229.12463</t>
  </si>
  <si>
    <t xml:space="preserve">https://onlinelibrary.wiley.com/doi/pdfdirect/10.1111/1540-6229.12463</t>
  </si>
  <si>
    <t xml:space="preserve">p121</t>
  </si>
  <si>
    <t xml:space="preserve">Sale to list ratio, for-sale inventory, sale count, and housing value</t>
  </si>
  <si>
    <t xml:space="preserve">https://doi.org/10.1108/ijhma-08-2023-0113</t>
  </si>
  <si>
    <t xml:space="preserve">p125</t>
  </si>
  <si>
    <t xml:space="preserve">Spatial and temporal diffusion of property prices and sales across British regions</t>
  </si>
  <si>
    <t xml:space="preserve">https://doi.org/10.1108/ijhma-09-2023-0118</t>
  </si>
  <si>
    <t xml:space="preserve">p126</t>
  </si>
  <si>
    <t xml:space="preserve">From Causes to Forecasts: Granger Causality and Machine Learning Predictions of Housing Sales in Türkiye</t>
  </si>
  <si>
    <t xml:space="preserve">Istanbul Journal of Economics / İstanbul İktisat Dergisi</t>
  </si>
  <si>
    <t xml:space="preserve">https://doi.org/10.26650/istjecon2025-1707729</t>
  </si>
  <si>
    <t xml:space="preserve">p127</t>
  </si>
  <si>
    <t xml:space="preserve">Housing Market Spillovers in China via Trading Volume: A Comparison of Two Spillover Indexes</t>
  </si>
  <si>
    <t xml:space="preserve">Financial Review</t>
  </si>
  <si>
    <t xml:space="preserve">https://doi.org/10.1111/fire.70004</t>
  </si>
  <si>
    <t xml:space="preserve">p130</t>
  </si>
  <si>
    <t xml:space="preserve">From prediction to explanation for price–volume dynamics in real estate market</t>
  </si>
  <si>
    <t xml:space="preserve">Interface Focus</t>
  </si>
  <si>
    <t xml:space="preserve">https://doi.org/10.1098/rsfs.2025.0069</t>
  </si>
  <si>
    <t xml:space="preserve">https://publications.aston.ac.uk/id/eprint/49441/1/From_prediction_to_explanation_for_price_volume_dynamics_in_real_estate_market.pdf</t>
  </si>
  <si>
    <t xml:space="preserve">p132</t>
  </si>
  <si>
    <t xml:space="preserve">Housing Prices and Transaction Volumes in Taiwan Region’s Six Major Cities</t>
  </si>
  <si>
    <t xml:space="preserve">Journal of Financial Risk Management</t>
  </si>
  <si>
    <t xml:space="preserve">https://doi.org/10.4236/jfrm.2026.152007</t>
  </si>
  <si>
    <t xml:space="preserve">papers/p132.pdf</t>
  </si>
  <si>
    <t xml:space="preserve">p013</t>
  </si>
  <si>
    <t xml:space="preserve">W18</t>
  </si>
  <si>
    <t xml:space="preserve">House Search Duration in Hot and Cold Residential Markets</t>
  </si>
  <si>
    <t xml:space="preserve">https://doi.org/10.1111/j.1540-6229.2012.00329.x</t>
  </si>
  <si>
    <t xml:space="preserve">p091</t>
  </si>
  <si>
    <t xml:space="preserve">Fundamentals and Market Sentiment in Housing Market</t>
  </si>
  <si>
    <t xml:space="preserve">Housing Theory and Society</t>
  </si>
  <si>
    <t xml:space="preserve">https://doi.org/10.1080/14036096.2016.1196240</t>
  </si>
  <si>
    <t xml:space="preserve">http://ira.lib.polyu.edu.hk/bitstream/10397/95907/1/Hui_Fundamentals_And_Market.pdf</t>
  </si>
  <si>
    <t xml:space="preserve">p133</t>
  </si>
  <si>
    <t xml:space="preserve">Forecasting Residential Real Estate Price Changes from Online Search Activity</t>
  </si>
  <si>
    <t xml:space="preserve">https://doi.org/10.1080/10835547.2013.12091364</t>
  </si>
  <si>
    <t xml:space="preserve">p134</t>
  </si>
  <si>
    <t xml:space="preserve">Intercity Information Diffusion and Price Discovery in Housing Markets: Evidence from Google Searches</t>
  </si>
  <si>
    <t xml:space="preserve">https://doi.org/10.1007/s11146-014-9493-9</t>
  </si>
  <si>
    <t xml:space="preserve">p135</t>
  </si>
  <si>
    <t xml:space="preserve">Online Information Search, Market Fundamentals and Apartment Real Estate</t>
  </si>
  <si>
    <t xml:space="preserve">https://doi.org/10.1007/s11146-015-9496-1</t>
  </si>
  <si>
    <t xml:space="preserve">p138</t>
  </si>
  <si>
    <t xml:space="preserve">Home is where the ad is: online interest proxies housing demand</t>
  </si>
  <si>
    <t xml:space="preserve">EPJ Data Science</t>
  </si>
  <si>
    <t xml:space="preserve">https://doi.org/10.1140/epjds/s13688-018-0176-2</t>
  </si>
  <si>
    <t xml:space="preserve">https://epjdatascience.springeropen.com/track/pdf/10.1140/epjds/s13688-018-0176-2</t>
  </si>
  <si>
    <t xml:space="preserve">p141</t>
  </si>
  <si>
    <t xml:space="preserve">Segmented Housing Search</t>
  </si>
  <si>
    <t xml:space="preserve">American Economic Review</t>
  </si>
  <si>
    <t xml:space="preserve">https://doi.org/10.1257/aer.20141772</t>
  </si>
  <si>
    <t xml:space="preserve">p147</t>
  </si>
  <si>
    <t xml:space="preserve">House hunting high and low: Constructing a Housing Search Index for Portugal</t>
  </si>
  <si>
    <t xml:space="preserve">https://doi.org/10.1016/j.jhe.2026.102163</t>
  </si>
  <si>
    <t xml:space="preserve">p104</t>
  </si>
  <si>
    <t xml:space="preserve">W19</t>
  </si>
  <si>
    <t xml:space="preserve">Forecasting Short-Term Housing Transaction Volumes using Time-Series and Internet Search Queries</t>
  </si>
  <si>
    <t xml:space="preserve">KSCE Journal of Civil Engineering</t>
  </si>
  <si>
    <t xml:space="preserve">https://doi.org/10.1007/s12205-019-1926-9</t>
  </si>
  <si>
    <t xml:space="preserve">p136</t>
  </si>
  <si>
    <t xml:space="preserve">Sentiment-based predictions of housing market turning points with Google trends</t>
  </si>
  <si>
    <t xml:space="preserve">https://doi.org/10.1108/ijhma-12-2014-0058</t>
  </si>
  <si>
    <t xml:space="preserve">p137</t>
  </si>
  <si>
    <t xml:space="preserve">Internet Search Behavior, Liquidity and Prices in the Housing Market</t>
  </si>
  <si>
    <t xml:space="preserve">https://doi.org/10.1111/1540-6229.12187</t>
  </si>
  <si>
    <t xml:space="preserve">p139</t>
  </si>
  <si>
    <t xml:space="preserve">&lt;i&gt;FEAR Index&lt;/i&gt;, city characteristics, and housing returns</t>
  </si>
  <si>
    <t xml:space="preserve">https://doi.org/10.1111/1540-6229.12335</t>
  </si>
  <si>
    <t xml:space="preserve">p140</t>
  </si>
  <si>
    <t xml:space="preserve">Google Search Queries, Foreclosures, and House Prices</t>
  </si>
  <si>
    <t xml:space="preserve">https://doi.org/10.1007/s11146-020-09789-y</t>
  </si>
  <si>
    <t xml:space="preserve">papers/p140.pdf</t>
  </si>
  <si>
    <t xml:space="preserve">p142</t>
  </si>
  <si>
    <t xml:space="preserve">Use of Google Trends to Predict the Real Estate Market: Evidence from the United Kingdom</t>
  </si>
  <si>
    <t xml:space="preserve">https://doi.org/10.53383/100332</t>
  </si>
  <si>
    <t xml:space="preserve">papers/p142.pdf</t>
  </si>
  <si>
    <t xml:space="preserve">p143</t>
  </si>
  <si>
    <t xml:space="preserve">Local Experiences, Search, and Spillovers in the Housing Market</t>
  </si>
  <si>
    <t xml:space="preserve">The Journal of Finance</t>
  </si>
  <si>
    <t xml:space="preserve">https://doi.org/10.1111/jofi.13208</t>
  </si>
  <si>
    <t xml:space="preserve">https://onlinelibrary.wiley.com/doi/pdfdirect/10.1111/jofi.13208</t>
  </si>
  <si>
    <t xml:space="preserve">p144</t>
  </si>
  <si>
    <t xml:space="preserve">Predicting Housing Price Trends in Poland: Online Social Engagement - Google Trends</t>
  </si>
  <si>
    <t xml:space="preserve">https://doi.org/10.2478/remav-2023-0032</t>
  </si>
  <si>
    <t xml:space="preserve">papers/p144.pdf</t>
  </si>
  <si>
    <t xml:space="preserve">p145</t>
  </si>
  <si>
    <t xml:space="preserve">W20</t>
  </si>
  <si>
    <t xml:space="preserve">Housing search activity and quantiles-based predictability of housing price movements in the USA</t>
  </si>
  <si>
    <t xml:space="preserve">https://doi.org/10.1108/ijhma-12-2023-0166</t>
  </si>
  <si>
    <t xml:space="preserve">p146</t>
  </si>
  <si>
    <t xml:space="preserve">From digital search to deed: forecasting UK housing purchases in Spain using Google Trends across the Brexit divide</t>
  </si>
  <si>
    <t xml:space="preserve">https://doi.org/10.1108/jerer-07-2025-0060</t>
  </si>
  <si>
    <t xml:space="preserve">배정일</t>
  </si>
  <si>
    <t xml:space="preserve">마감</t>
  </si>
  <si>
    <t xml:space="preserve">종류</t>
  </si>
  <si>
    <t xml:space="preserve">제출일</t>
  </si>
  <si>
    <t xml:space="preserve">접수</t>
  </si>
  <si>
    <t xml:space="preserve">짝점검</t>
  </si>
  <si>
    <t xml:space="preserve">반려사유</t>
  </si>
  <si>
    <t xml:space="preserve">2026-10-13</t>
  </si>
  <si>
    <t xml:space="preserve">2026-10-17</t>
  </si>
  <si>
    <r>
      <rPr>
        <sz val="10"/>
        <rFont val="WenQuanYi Zen Hei"/>
        <family val="2"/>
      </rPr>
      <t xml:space="preserve">예시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정리 완료</t>
    </r>
    <r>
      <rPr>
        <sz val="10"/>
        <rFont val="Arial"/>
        <family val="0"/>
        <charset val="1"/>
      </rPr>
      <t xml:space="preserve">)</t>
    </r>
  </si>
  <si>
    <t xml:space="preserve">S4</t>
  </si>
  <si>
    <t xml:space="preserve">F3</t>
  </si>
  <si>
    <t xml:space="preserve">주택도시금융연구</t>
  </si>
  <si>
    <t xml:space="preserve">10.38100/jhuf.2021.6.2.53</t>
  </si>
  <si>
    <t xml:space="preserve">O</t>
  </si>
  <si>
    <t xml:space="preserve">2026-10-19</t>
  </si>
  <si>
    <t xml:space="preserve">2026-10-23</t>
  </si>
  <si>
    <r>
      <rPr>
        <sz val="10"/>
        <rFont val="WenQuanYi Zen Hei"/>
        <family val="2"/>
      </rPr>
      <t xml:space="preserve">파일럿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전원 같은 논문</t>
    </r>
    <r>
      <rPr>
        <sz val="10"/>
        <rFont val="Arial"/>
        <family val="0"/>
        <charset val="1"/>
      </rPr>
      <t xml:space="preserve">)</t>
    </r>
  </si>
  <si>
    <t xml:space="preserve">S3</t>
  </si>
  <si>
    <t xml:space="preserve">F1</t>
  </si>
  <si>
    <t xml:space="preserve">10.24957/hsr.2019.27.1.05</t>
  </si>
  <si>
    <r>
      <rPr>
        <sz val="10"/>
        <rFont val="WenQuanYi Zen Hei"/>
        <family val="2"/>
      </rPr>
      <t xml:space="preserve">전원 비교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원석</t>
    </r>
    <r>
      <rPr>
        <sz val="10"/>
        <rFont val="Arial"/>
        <family val="0"/>
        <charset val="1"/>
      </rPr>
      <t xml:space="preserve">)</t>
    </r>
  </si>
  <si>
    <t xml:space="preserve">2026-10-26</t>
  </si>
  <si>
    <t xml:space="preserve">2026-10-30</t>
  </si>
  <si>
    <t xml:space="preserve">정리</t>
  </si>
  <si>
    <t xml:space="preserve">S1</t>
  </si>
  <si>
    <t xml:space="preserve">10.1080/12265934.2016.1239548</t>
  </si>
  <si>
    <t xml:space="preserve">10.24957/hsr.2017.25.3.01</t>
  </si>
  <si>
    <t xml:space="preserve">10.22313/reik.2018.16.2.411</t>
  </si>
  <si>
    <t xml:space="preserve">10.22313/reik.2019.17.4.31</t>
  </si>
  <si>
    <t xml:space="preserve">10.32989/rel.2020.24.2.53</t>
  </si>
  <si>
    <t xml:space="preserve">10.22143/hss21.14.2.27</t>
  </si>
  <si>
    <t xml:space="preserve">10.5626/ktcp.2026.32.3.89</t>
  </si>
  <si>
    <t xml:space="preserve">S2</t>
  </si>
  <si>
    <t xml:space="preserve">10.14801/jkiit.2023.21.10.37</t>
  </si>
  <si>
    <t xml:space="preserve">2026-11-02</t>
  </si>
  <si>
    <t xml:space="preserve">2026-11-06</t>
  </si>
  <si>
    <t xml:space="preserve">10.24957/hsr.2026.34.3.267</t>
  </si>
  <si>
    <t xml:space="preserve">10.21447/jup.2019.10.3.101</t>
  </si>
  <si>
    <t xml:space="preserve">10.24957/hsr.2026.34.2.101</t>
  </si>
  <si>
    <t xml:space="preserve">F2</t>
  </si>
  <si>
    <t xml:space="preserve">10.15793/kspr.2009.62..006</t>
  </si>
  <si>
    <t xml:space="preserve">10.30902/jrea.2018.4.1.85</t>
  </si>
  <si>
    <t xml:space="preserve">10.15793/kspr.2011.69..001</t>
  </si>
  <si>
    <t xml:space="preserve">10.18032/kaaba.2017.30.11.1935</t>
  </si>
  <si>
    <t xml:space="preserve">10.26700/shuri.2018.12.8.3.51</t>
  </si>
  <si>
    <t xml:space="preserve">2026-11-09</t>
  </si>
  <si>
    <t xml:space="preserve">2026-11-13</t>
  </si>
  <si>
    <t xml:space="preserve">10.15793/kspr.2018.97..001</t>
  </si>
  <si>
    <t xml:space="preserve">10.37103/kapp.21.3.2</t>
  </si>
  <si>
    <t xml:space="preserve">10.22313/reik.2020.18.1.21</t>
  </si>
  <si>
    <t xml:space="preserve">10.31303/krear.2020.83.53</t>
  </si>
  <si>
    <t xml:space="preserve">10.19172/kreaa.26.3.8</t>
  </si>
  <si>
    <t xml:space="preserve">10.5762/kais.2022.23.3.273</t>
  </si>
  <si>
    <t xml:space="preserve">10.37407/kres.2024.42.1.211</t>
  </si>
  <si>
    <t xml:space="preserve">10.5392/jkca.2024.24.01.621</t>
  </si>
  <si>
    <t xml:space="preserve">2026-11-16</t>
  </si>
  <si>
    <t xml:space="preserve">2026-11-20</t>
  </si>
  <si>
    <t xml:space="preserve">S5</t>
  </si>
  <si>
    <t xml:space="preserve">10.37407/kres.2026.44.3.315</t>
  </si>
  <si>
    <t xml:space="preserve">10.52344/hfr.2026.10.1.133</t>
  </si>
  <si>
    <t xml:space="preserve">10.1111/1540-6229.00463</t>
  </si>
  <si>
    <t xml:space="preserve">10.1111/1540-6229.00514</t>
  </si>
  <si>
    <t xml:space="preserve">10.1080/10835547.2010.12091669</t>
  </si>
  <si>
    <t xml:space="preserve">10.1080/14445921.2012.11104370</t>
  </si>
  <si>
    <t xml:space="preserve">10.1057/jors.2011.74</t>
  </si>
  <si>
    <t xml:space="preserve">2026-11-23</t>
  </si>
  <si>
    <t xml:space="preserve">2026-11-27</t>
  </si>
  <si>
    <t xml:space="preserve">10.1016/j.jue.2019.04.005</t>
  </si>
  <si>
    <t xml:space="preserve">10.1016/j.knosys.2020.106417</t>
  </si>
  <si>
    <t xml:space="preserve">10.1108/ijhma-06-2020-0071</t>
  </si>
  <si>
    <t xml:space="preserve">10.36108/ujees/2202.40.0210</t>
  </si>
  <si>
    <t xml:space="preserve">10.1080/10835547.1994.12090750</t>
  </si>
  <si>
    <t xml:space="preserve">10.1068/a35170</t>
  </si>
  <si>
    <t xml:space="preserve">10.1111/j.1540-6229.2006.00171.x</t>
  </si>
  <si>
    <t xml:space="preserve">10.1080/10835547.2007.12091978</t>
  </si>
  <si>
    <t xml:space="preserve">2026-11-30</t>
  </si>
  <si>
    <t xml:space="preserve">2026-12-04</t>
  </si>
  <si>
    <t xml:space="preserve">10.1111/1756-2171.12022</t>
  </si>
  <si>
    <t xml:space="preserve">10.1080/10835547.2009.12092005</t>
  </si>
  <si>
    <t xml:space="preserve">10.1016/j.regsciurbeco.2011.08.010</t>
  </si>
  <si>
    <t xml:space="preserve">10.1177/0042098014529341</t>
  </si>
  <si>
    <t xml:space="preserve">10.1007/s11146-013-9450-z</t>
  </si>
  <si>
    <t xml:space="preserve">10.3846/1648715x.2015.1072746</t>
  </si>
  <si>
    <t xml:space="preserve">10.1007/s11146-015-9503-6</t>
  </si>
  <si>
    <t xml:space="preserve">10.1111/1540-6229.12121</t>
  </si>
  <si>
    <t xml:space="preserve">2026-12-07</t>
  </si>
  <si>
    <t xml:space="preserve">2026-12-11</t>
  </si>
  <si>
    <t xml:space="preserve">10.1177/0042098015596923</t>
  </si>
  <si>
    <t xml:space="preserve">10.1080/08965803.2020.1844476</t>
  </si>
  <si>
    <t xml:space="preserve">10.1515/jem-2020-0017</t>
  </si>
  <si>
    <t xml:space="preserve">10.5198/jtlu.2024.2447</t>
  </si>
  <si>
    <t xml:space="preserve">10.1061/jupddm.upeng-5857</t>
  </si>
  <si>
    <t xml:space="preserve">10.1111/1540-6229.00038</t>
  </si>
  <si>
    <t xml:space="preserve">10.53383/100144</t>
  </si>
  <si>
    <t xml:space="preserve">10.1016/j.regsciurbeco.2013.03.001</t>
  </si>
  <si>
    <t xml:space="preserve">2026-12-14</t>
  </si>
  <si>
    <t xml:space="preserve">2026-12-18</t>
  </si>
  <si>
    <t xml:space="preserve">10.1007/s11146-016-9558-z</t>
  </si>
  <si>
    <t xml:space="preserve">10.1016/j.jhe.2018.09.009</t>
  </si>
  <si>
    <t xml:space="preserve">10.1111/boer.12284</t>
  </si>
  <si>
    <t xml:space="preserve">10.1111/jfir.12308</t>
  </si>
  <si>
    <t xml:space="preserve">10.3846/ijspm.2025.23319</t>
  </si>
  <si>
    <t xml:space="preserve">10.1108/jerer-12-2025-0098</t>
  </si>
  <si>
    <t xml:space="preserve">10.1108/17539260910978481</t>
  </si>
  <si>
    <t xml:space="preserve">10.1108/17538271311306048</t>
  </si>
  <si>
    <t xml:space="preserve">2026-12-21</t>
  </si>
  <si>
    <t xml:space="preserve">2026-12-25</t>
  </si>
  <si>
    <t xml:space="preserve">10.1162/rest_a_00634</t>
  </si>
  <si>
    <t xml:space="preserve">10.1016/j.jhe.2020.101715</t>
  </si>
  <si>
    <t xml:space="preserve">10.1007/s11146-020-09815-z</t>
  </si>
  <si>
    <t xml:space="preserve">10.2478/jos-2022-0017</t>
  </si>
  <si>
    <t xml:space="preserve">10.1016/j.jhe.2022.101906</t>
  </si>
  <si>
    <t xml:space="preserve">10.1177/0042098010363496</t>
  </si>
  <si>
    <t xml:space="preserve">10.1515/remav-2015-0021</t>
  </si>
  <si>
    <t xml:space="preserve">10.1111/1475-4932.12242</t>
  </si>
  <si>
    <t xml:space="preserve">2026-12-28</t>
  </si>
  <si>
    <t xml:space="preserve">2027-01-01</t>
  </si>
  <si>
    <t xml:space="preserve">10.1016/j.jue.2004.05.004</t>
  </si>
  <si>
    <t xml:space="preserve">10.1111/j.1080-8620.2004.00106.x</t>
  </si>
  <si>
    <t xml:space="preserve">10.1016/j.frl.2018.10.004</t>
  </si>
  <si>
    <t xml:space="preserve">10.1111/1540-6229.70013</t>
  </si>
  <si>
    <t xml:space="preserve">10.1111/1540-6229.00410</t>
  </si>
  <si>
    <t xml:space="preserve">10.1007/s10901-005-6762-1</t>
  </si>
  <si>
    <t xml:space="preserve">10.1111/reec.12003</t>
  </si>
  <si>
    <t xml:space="preserve">10.1080/1331677x.2018.1429289</t>
  </si>
  <si>
    <t xml:space="preserve">2027-01-04</t>
  </si>
  <si>
    <t xml:space="preserve">2027-01-08</t>
  </si>
  <si>
    <t xml:space="preserve">10.1080/10527001.2020.1776513</t>
  </si>
  <si>
    <t xml:space="preserve">10.1007/s11573-020-00990-2</t>
  </si>
  <si>
    <t xml:space="preserve">10.1016/j.regsciurbeco.2024.103997</t>
  </si>
  <si>
    <t xml:space="preserve">10.1080/10835547.2012.12092059</t>
  </si>
  <si>
    <t xml:space="preserve">10.1111/1540-6229.12082</t>
  </si>
  <si>
    <t xml:space="preserve">10.1080/00036846.2015.1023943</t>
  </si>
  <si>
    <t xml:space="preserve">10.1016/j.landusepol.2016.05.008</t>
  </si>
  <si>
    <t xml:space="preserve">10.1108/ijhma-02-2020-0017</t>
  </si>
  <si>
    <t xml:space="preserve">2027-01-11</t>
  </si>
  <si>
    <t xml:space="preserve">2027-01-15</t>
  </si>
  <si>
    <t xml:space="preserve">10.1111/infi.12408</t>
  </si>
  <si>
    <t xml:space="preserve">10.1007/s11146-026-10080-9</t>
  </si>
  <si>
    <t xml:space="preserve">10.1006/jhec.1995.1005</t>
  </si>
  <si>
    <t xml:space="preserve">10.1007/bf01099111</t>
  </si>
  <si>
    <t xml:space="preserve">10.1111/reec.12015</t>
  </si>
  <si>
    <t xml:space="preserve">10.1007/s11146-019-09714-y</t>
  </si>
  <si>
    <t xml:space="preserve">10.3390/buildings14051471</t>
  </si>
  <si>
    <t xml:space="preserve">10.1007/s10660-026-10107-6</t>
  </si>
  <si>
    <t xml:space="preserve">2027-01-18</t>
  </si>
  <si>
    <t xml:space="preserve">2027-01-22</t>
  </si>
  <si>
    <t xml:space="preserve">10.1162/003465306775565783</t>
  </si>
  <si>
    <t xml:space="preserve">10.1016/j.regsciurbeco.2016.04.001</t>
  </si>
  <si>
    <t xml:space="preserve">10.1111/1540-6229.12269</t>
  </si>
  <si>
    <t xml:space="preserve">10.48264/vvsiev-20223102</t>
  </si>
  <si>
    <t xml:space="preserve">10.1007/bf00217392</t>
  </si>
  <si>
    <t xml:space="preserve">10.1023/a:1007718725609</t>
  </si>
  <si>
    <t xml:space="preserve">10.1080/10835547.2002.12091081</t>
  </si>
  <si>
    <t xml:space="preserve">10.1080/09599910802696615</t>
  </si>
  <si>
    <t xml:space="preserve">2027-01-25</t>
  </si>
  <si>
    <t xml:space="preserve">2027-01-29</t>
  </si>
  <si>
    <t xml:space="preserve">10.1007/s11146-008-9161-z</t>
  </si>
  <si>
    <t xml:space="preserve">10.1007/s11146-009-9207-x</t>
  </si>
  <si>
    <t xml:space="preserve">10.1108/17538271011049731</t>
  </si>
  <si>
    <t xml:space="preserve">10.1080/10835547.2010.12092026</t>
  </si>
  <si>
    <t xml:space="preserve">10.1111/j.1540-6229.2010.00292.x</t>
  </si>
  <si>
    <t xml:space="preserve">10.1007/s11146-012-9375-y</t>
  </si>
  <si>
    <t xml:space="preserve">10.1016/j.jhe.2013.01.003</t>
  </si>
  <si>
    <t xml:space="preserve">10.1016/j.jhe.2013.02.001</t>
  </si>
  <si>
    <t xml:space="preserve">2027-02-01</t>
  </si>
  <si>
    <t xml:space="preserve">2027-02-05</t>
  </si>
  <si>
    <t xml:space="preserve">10.1016/j.regsciurbeco.2012.07.002</t>
  </si>
  <si>
    <t xml:space="preserve">10.17092/jibr.2013.10.1.159</t>
  </si>
  <si>
    <t xml:space="preserve">10.1016/j.econmod.2014.03.026</t>
  </si>
  <si>
    <t xml:space="preserve">10.1016/j.jhe.2015.04.003</t>
  </si>
  <si>
    <t xml:space="preserve">10.3846/ijspm.2018.5219</t>
  </si>
  <si>
    <t xml:space="preserve">10.1007/s00168-018-0870-9</t>
  </si>
  <si>
    <t xml:space="preserve">10.1080/12265934.2021.1925142</t>
  </si>
  <si>
    <t xml:space="preserve">10.1108/ecam-10-2020-0850</t>
  </si>
  <si>
    <t xml:space="preserve">2027-02-08</t>
  </si>
  <si>
    <t xml:space="preserve">2027-02-12</t>
  </si>
  <si>
    <t xml:space="preserve">10.1016/j.jempfin.2021.10.003</t>
  </si>
  <si>
    <t xml:space="preserve">10.1111/1540-6229.12463</t>
  </si>
  <si>
    <t xml:space="preserve">10.1108/ijhma-08-2023-0113</t>
  </si>
  <si>
    <t xml:space="preserve">10.1108/ijhma-09-2023-0118</t>
  </si>
  <si>
    <t xml:space="preserve">10.26650/istjecon2025-1707729</t>
  </si>
  <si>
    <t xml:space="preserve">10.1111/fire.70004</t>
  </si>
  <si>
    <t xml:space="preserve">10.1098/rsfs.2025.0069</t>
  </si>
  <si>
    <t xml:space="preserve">10.4236/jfrm.2026.152007</t>
  </si>
  <si>
    <t xml:space="preserve">2027-02-15</t>
  </si>
  <si>
    <t xml:space="preserve">2027-02-19</t>
  </si>
  <si>
    <t xml:space="preserve">10.1257/aer.20141772</t>
  </si>
  <si>
    <t xml:space="preserve">10.1111/j.1540-6229.2012.00329.x</t>
  </si>
  <si>
    <t xml:space="preserve">10.1140/epjds/s13688-018-0176-2</t>
  </si>
  <si>
    <t xml:space="preserve">10.1016/j.jhe.2026.102163</t>
  </si>
  <si>
    <t xml:space="preserve">10.1080/10835547.2013.12091364</t>
  </si>
  <si>
    <t xml:space="preserve">10.1007/s11146-014-9493-9</t>
  </si>
  <si>
    <t xml:space="preserve">10.1007/s11146-015-9496-1</t>
  </si>
  <si>
    <t xml:space="preserve">10.1080/14036096.2016.1196240</t>
  </si>
  <si>
    <t xml:space="preserve">2027-02-22</t>
  </si>
  <si>
    <t xml:space="preserve">2027-02-26</t>
  </si>
  <si>
    <t xml:space="preserve">10.1111/jofi.13208</t>
  </si>
  <si>
    <t xml:space="preserve">10.1108/ijhma-12-2014-0058</t>
  </si>
  <si>
    <t xml:space="preserve">10.1111/1540-6229.12187</t>
  </si>
  <si>
    <t xml:space="preserve">10.1007/s12205-019-1926-9</t>
  </si>
  <si>
    <t xml:space="preserve">10.1111/1540-6229.12335</t>
  </si>
  <si>
    <t xml:space="preserve">10.1007/s11146-020-09789-y</t>
  </si>
  <si>
    <t xml:space="preserve">10.53383/100332</t>
  </si>
  <si>
    <t xml:space="preserve">10.2478/remav-2023-0032</t>
  </si>
  <si>
    <t xml:space="preserve">2027-03-01</t>
  </si>
  <si>
    <t xml:space="preserve">2027-03-05</t>
  </si>
  <si>
    <t xml:space="preserve">10.1108/ijhma-12-2023-0166</t>
  </si>
  <si>
    <t xml:space="preserve">10.1108/jerer-07-2025-0060</t>
  </si>
  <si>
    <t xml:space="preserve">배정</t>
  </si>
  <si>
    <t xml:space="preserve">제출</t>
  </si>
  <si>
    <r>
      <rPr>
        <b val="true"/>
        <sz val="10"/>
        <color rgb="FFFFFFFF"/>
        <rFont val="WenQuanYi Zen Hei"/>
        <family val="2"/>
      </rPr>
      <t xml:space="preserve">통과</t>
    </r>
    <r>
      <rPr>
        <b val="true"/>
        <sz val="10"/>
        <color rgb="FFFFFFFF"/>
        <rFont val="Arial"/>
        <family val="0"/>
        <charset val="1"/>
      </rPr>
      <t xml:space="preserve">(O)</t>
    </r>
  </si>
  <si>
    <t xml:space="preserve">반려</t>
  </si>
  <si>
    <t xml:space="preserve">짝점검 완료</t>
  </si>
  <si>
    <t xml:space="preserve">통과율</t>
  </si>
  <si>
    <t xml:space="preserve">합계</t>
  </si>
  <si>
    <r>
      <rPr>
        <sz val="10"/>
        <rFont val="Arial"/>
        <family val="0"/>
        <charset val="1"/>
      </rPr>
      <t xml:space="preserve">W01 </t>
    </r>
    <r>
      <rPr>
        <sz val="10"/>
        <rFont val="WenQuanYi Zen Hei"/>
        <family val="2"/>
      </rPr>
      <t xml:space="preserve">파일럿은 같은 논문을 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명이 정리하므로 배정 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건으로 센다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예시 </t>
    </r>
    <r>
      <rPr>
        <sz val="10"/>
        <rFont val="Arial"/>
        <family val="0"/>
        <charset val="1"/>
      </rPr>
      <t xml:space="preserve">p115</t>
    </r>
    <r>
      <rPr>
        <sz val="10"/>
        <rFont val="WenQuanYi Zen Hei"/>
        <family val="2"/>
      </rPr>
      <t xml:space="preserve">는 </t>
    </r>
    <r>
      <rPr>
        <sz val="10"/>
        <rFont val="Arial"/>
        <family val="0"/>
        <charset val="1"/>
      </rPr>
      <t xml:space="preserve">Claude</t>
    </r>
    <r>
      <rPr>
        <sz val="10"/>
        <rFont val="WenQuanYi Zen Hei"/>
        <family val="2"/>
      </rPr>
      <t xml:space="preserve">가 정리했고 원석이 검증한다</t>
    </r>
    <r>
      <rPr>
        <sz val="10"/>
        <rFont val="Arial"/>
        <family val="0"/>
        <charset val="1"/>
      </rPr>
      <t xml:space="preserve">.</t>
    </r>
  </si>
  <si>
    <r>
      <rPr>
        <b val="true"/>
        <sz val="14"/>
        <rFont val="WenQuanYi Zen Hei"/>
        <family val="2"/>
      </rPr>
      <t xml:space="preserve">분류 틀</t>
    </r>
    <r>
      <rPr>
        <b val="true"/>
        <sz val="14"/>
        <rFont val="Arial"/>
        <family val="0"/>
        <charset val="1"/>
      </rPr>
      <t xml:space="preserve">: </t>
    </r>
    <r>
      <rPr>
        <b val="true"/>
        <sz val="14"/>
        <rFont val="WenQuanYi Zen Hei"/>
        <family val="2"/>
      </rPr>
      <t xml:space="preserve">단계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주축</t>
    </r>
    <r>
      <rPr>
        <b val="true"/>
        <sz val="14"/>
        <rFont val="Arial"/>
        <family val="0"/>
        <charset val="1"/>
      </rPr>
      <t xml:space="preserve">) × </t>
    </r>
    <r>
      <rPr>
        <b val="true"/>
        <sz val="14"/>
        <rFont val="WenQuanYi Zen Hei"/>
        <family val="2"/>
      </rPr>
      <t xml:space="preserve">기능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절 내부</t>
    </r>
    <r>
      <rPr>
        <b val="true"/>
        <sz val="14"/>
        <rFont val="Arial"/>
        <family val="0"/>
        <charset val="1"/>
      </rPr>
      <t xml:space="preserve">) × </t>
    </r>
    <r>
      <rPr>
        <b val="true"/>
        <sz val="14"/>
        <rFont val="WenQuanYi Zen Hei"/>
        <family val="2"/>
      </rPr>
      <t xml:space="preserve">시장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교차</t>
    </r>
    <r>
      <rPr>
        <b val="true"/>
        <sz val="14"/>
        <rFont val="Arial"/>
        <family val="0"/>
        <charset val="1"/>
      </rPr>
      <t xml:space="preserve">)</t>
    </r>
  </si>
  <si>
    <t xml:space="preserve">코드</t>
  </si>
  <si>
    <t xml:space="preserve">뜻</t>
  </si>
  <si>
    <t xml:space="preserve">대표 지표</t>
  </si>
  <si>
    <t xml:space="preserve">잠재 수요 신호</t>
  </si>
  <si>
    <r>
      <rPr>
        <sz val="10"/>
        <rFont val="WenQuanYi Zen Hei"/>
        <family val="2"/>
      </rPr>
      <t xml:space="preserve">검색량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뉴스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소비 심리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조회수</t>
    </r>
  </si>
  <si>
    <t xml:space="preserve">공급 쪽 깊이</t>
  </si>
  <si>
    <r>
      <rPr>
        <sz val="10"/>
        <rFont val="WenQuanYi Zen Hei"/>
        <family val="2"/>
      </rPr>
      <t xml:space="preserve">신규 매물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재고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흡수율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호가 수준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호가 지수</t>
    </r>
  </si>
  <si>
    <r>
      <rPr>
        <sz val="10"/>
        <rFont val="Arial"/>
        <family val="0"/>
        <charset val="1"/>
      </rPr>
      <t xml:space="preserve">S3 </t>
    </r>
    <r>
      <rPr>
        <sz val="10"/>
        <rFont val="WenQuanYi Zen Hei"/>
        <family val="2"/>
      </rPr>
      <t xml:space="preserve">매칭</t>
    </r>
  </si>
  <si>
    <r>
      <rPr>
        <sz val="10"/>
        <rFont val="WenQuanYi Zen Hei"/>
        <family val="2"/>
      </rPr>
      <t xml:space="preserve">즉시성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시간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</si>
  <si>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TOM/DOM, </t>
    </r>
    <r>
      <rPr>
        <sz val="10"/>
        <rFont val="WenQuanYi Zen Hei"/>
        <family val="2"/>
      </rPr>
      <t xml:space="preserve">매각확률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호가 인하</t>
    </r>
  </si>
  <si>
    <r>
      <rPr>
        <sz val="10"/>
        <rFont val="Arial"/>
        <family val="0"/>
        <charset val="1"/>
      </rPr>
      <t xml:space="preserve">S4 </t>
    </r>
    <r>
      <rPr>
        <sz val="10"/>
        <rFont val="WenQuanYi Zen Hei"/>
        <family val="2"/>
      </rPr>
      <t xml:space="preserve">체결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가격 발견</t>
    </r>
  </si>
  <si>
    <r>
      <rPr>
        <sz val="10"/>
        <rFont val="WenQuanYi Zen Hei"/>
        <family val="2"/>
      </rPr>
      <t xml:space="preserve">비용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깊이</t>
    </r>
  </si>
  <si>
    <r>
      <rPr>
        <sz val="10"/>
        <rFont val="WenQuanYi Zen Hei"/>
        <family val="2"/>
      </rPr>
      <t xml:space="preserve">거래량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회전율</t>
    </r>
    <r>
      <rPr>
        <sz val="10"/>
        <rFont val="Arial"/>
        <family val="0"/>
        <charset val="1"/>
      </rPr>
      <t xml:space="preserve">, sale-to-list, </t>
    </r>
    <r>
      <rPr>
        <sz val="10"/>
        <rFont val="WenQuanYi Zen Hei"/>
        <family val="2"/>
      </rPr>
      <t xml:space="preserve">호가–체결 격차</t>
    </r>
  </si>
  <si>
    <r>
      <rPr>
        <sz val="10"/>
        <rFont val="Arial"/>
        <family val="0"/>
        <charset val="1"/>
      </rPr>
      <t xml:space="preserve">S5 </t>
    </r>
    <r>
      <rPr>
        <sz val="10"/>
        <rFont val="WenQuanYi Zen Hei"/>
        <family val="2"/>
      </rPr>
      <t xml:space="preserve">집계 상태</t>
    </r>
  </si>
  <si>
    <t xml:space="preserve">복합</t>
  </si>
  <si>
    <r>
      <rPr>
        <sz val="10"/>
        <rFont val="Arial"/>
        <family val="0"/>
        <charset val="1"/>
      </rPr>
      <t xml:space="preserve">tightness·heat, </t>
    </r>
    <r>
      <rPr>
        <sz val="10"/>
        <rFont val="WenQuanYi Zen Hei"/>
        <family val="2"/>
      </rPr>
      <t xml:space="preserve">유동성 지수</t>
    </r>
  </si>
  <si>
    <t xml:space="preserve">지표를 정의하거나 만드는 논문</t>
  </si>
  <si>
    <r>
      <rPr>
        <sz val="10"/>
        <rFont val="WenQuanYi Zen Hei"/>
        <family val="2"/>
      </rPr>
      <t xml:space="preserve">절단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철회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재등록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집계 단위를 다루는 논문</t>
    </r>
  </si>
  <si>
    <r>
      <rPr>
        <sz val="10"/>
        <rFont val="WenQuanYi Zen Hei"/>
        <family val="2"/>
      </rPr>
      <t xml:space="preserve">지표가 가격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거래량을 앞서는지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지표끼리의 관계</t>
    </r>
  </si>
  <si>
    <r>
      <rPr>
        <sz val="10"/>
        <rFont val="Arial"/>
        <family val="0"/>
        <charset val="1"/>
      </rPr>
      <t xml:space="preserve">MLS / </t>
    </r>
    <r>
      <rPr>
        <sz val="10"/>
        <rFont val="WenQuanYi Zen Hei"/>
        <family val="2"/>
      </rPr>
      <t xml:space="preserve">비</t>
    </r>
    <r>
      <rPr>
        <sz val="10"/>
        <rFont val="Arial"/>
        <family val="0"/>
        <charset val="1"/>
      </rPr>
      <t xml:space="preserve">MLS </t>
    </r>
    <r>
      <rPr>
        <sz val="10"/>
        <rFont val="WenQuanYi Zen Hei"/>
        <family val="2"/>
      </rPr>
      <t xml:space="preserve">포털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중개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경매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복수</t>
    </r>
  </si>
  <si>
    <r>
      <rPr>
        <sz val="10"/>
        <rFont val="Arial"/>
        <family val="0"/>
        <charset val="1"/>
      </rPr>
      <t xml:space="preserve">'(</t>
    </r>
    <r>
      <rPr>
        <sz val="10"/>
        <rFont val="WenQuanYi Zen Hei"/>
        <family val="2"/>
      </rPr>
      <t xml:space="preserve">확인</t>
    </r>
    <r>
      <rPr>
        <sz val="10"/>
        <rFont val="Arial"/>
        <family val="0"/>
        <charset val="1"/>
      </rPr>
      <t xml:space="preserve">)'</t>
    </r>
    <r>
      <rPr>
        <sz val="10"/>
        <rFont val="WenQuanYi Zen Hei"/>
        <family val="2"/>
      </rPr>
      <t xml:space="preserve">이 붙은 것은 전문을 보고 정한다</t>
    </r>
  </si>
  <si>
    <r>
      <rPr>
        <b val="true"/>
        <sz val="10"/>
        <rFont val="WenQuanYi Zen Hei"/>
        <family val="2"/>
      </rPr>
      <t xml:space="preserve">교차표</t>
    </r>
    <r>
      <rPr>
        <b val="true"/>
        <sz val="10"/>
        <rFont val="Arial"/>
        <family val="0"/>
        <charset val="1"/>
      </rPr>
      <t xml:space="preserve">: </t>
    </r>
    <r>
      <rPr>
        <b val="true"/>
        <sz val="10"/>
        <rFont val="WenQuanYi Zen Hei"/>
        <family val="2"/>
      </rPr>
      <t xml:space="preserve">단계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시장</t>
    </r>
    <r>
      <rPr>
        <b val="true"/>
        <sz val="10"/>
        <rFont val="Arial"/>
        <family val="0"/>
        <charset val="1"/>
      </rPr>
      <t xml:space="preserve">, </t>
    </r>
    <r>
      <rPr>
        <b val="true"/>
        <sz val="10"/>
        <rFont val="WenQuanYi Zen Hei"/>
        <family val="2"/>
      </rPr>
      <t xml:space="preserve">단계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기능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종합</t>
    </r>
    <r>
      <rPr>
        <b val="true"/>
        <sz val="10"/>
        <rFont val="Arial"/>
        <family val="0"/>
        <charset val="1"/>
      </rPr>
      <t xml:space="preserve">148 </t>
    </r>
    <r>
      <rPr>
        <b val="true"/>
        <sz val="10"/>
        <rFont val="WenQuanYi Zen Hei"/>
        <family val="2"/>
      </rPr>
      <t xml:space="preserve">시트에서 자동 계산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</si>
  <si>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MLS </t>
    </r>
    <r>
      <rPr>
        <b val="true"/>
        <sz val="10"/>
        <color rgb="FFFFFFFF"/>
        <rFont val="WenQuanYi Zen Hei"/>
        <family val="2"/>
      </rPr>
      <t xml:space="preserve">시장</t>
    </r>
  </si>
  <si>
    <r>
      <rPr>
        <b val="true"/>
        <sz val="10"/>
        <color rgb="FFFFFFFF"/>
        <rFont val="WenQuanYi Zen Hei"/>
        <family val="2"/>
      </rPr>
      <t xml:space="preserve">비</t>
    </r>
    <r>
      <rPr>
        <b val="true"/>
        <sz val="10"/>
        <color rgb="FFFFFFFF"/>
        <rFont val="Arial"/>
        <family val="0"/>
        <charset val="1"/>
      </rPr>
      <t xml:space="preserve">MLS </t>
    </r>
    <r>
      <rPr>
        <b val="true"/>
        <sz val="10"/>
        <color rgb="FFFFFFFF"/>
        <rFont val="WenQuanYi Zen Hei"/>
        <family val="2"/>
      </rPr>
      <t xml:space="preserve">포털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중개</t>
    </r>
  </si>
  <si>
    <r>
      <rPr>
        <b val="true"/>
        <sz val="10"/>
        <color rgb="FFFFFFFF"/>
        <rFont val="WenQuanYi Zen Hei"/>
        <family val="2"/>
      </rPr>
      <t xml:space="preserve">복수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불명</t>
    </r>
  </si>
  <si>
    <r>
      <rPr>
        <b val="true"/>
        <sz val="14"/>
        <rFont val="Arial"/>
        <family val="0"/>
        <charset val="1"/>
      </rPr>
      <t xml:space="preserve">52,006</t>
    </r>
    <r>
      <rPr>
        <b val="true"/>
        <sz val="14"/>
        <rFont val="WenQuanYi Zen Hei"/>
        <family val="2"/>
      </rPr>
      <t xml:space="preserve">건에서 </t>
    </r>
    <r>
      <rPr>
        <b val="true"/>
        <sz val="14"/>
        <rFont val="Arial"/>
        <family val="0"/>
        <charset val="1"/>
      </rPr>
      <t xml:space="preserve">148</t>
    </r>
    <r>
      <rPr>
        <b val="true"/>
        <sz val="14"/>
        <rFont val="WenQuanYi Zen Hei"/>
        <family val="2"/>
      </rPr>
      <t xml:space="preserve">편까지 </t>
    </r>
    <r>
      <rPr>
        <b val="true"/>
        <sz val="14"/>
        <rFont val="Arial"/>
        <family val="0"/>
        <charset val="1"/>
      </rPr>
      <t xml:space="preserve">(PRISMA 2020)</t>
    </r>
  </si>
  <si>
    <t xml:space="preserve">건수</t>
  </si>
  <si>
    <t xml:space="preserve">무엇을 했나</t>
  </si>
  <si>
    <r>
      <rPr>
        <sz val="10"/>
        <rFont val="WenQuanYi Zen Hei"/>
        <family val="2"/>
      </rPr>
      <t xml:space="preserve">식별</t>
    </r>
    <r>
      <rPr>
        <sz val="10"/>
        <rFont val="Arial"/>
        <family val="0"/>
        <charset val="1"/>
      </rPr>
      <t xml:space="preserve">: Semantic Scholar </t>
    </r>
    <r>
      <rPr>
        <sz val="10"/>
        <rFont val="WenQuanYi Zen Hei"/>
        <family val="2"/>
      </rPr>
      <t xml:space="preserve">검색</t>
    </r>
  </si>
  <si>
    <r>
      <rPr>
        <sz val="10"/>
        <rFont val="WenQuanYi Zen Hei"/>
        <family val="2"/>
      </rPr>
      <t xml:space="preserve">블록 ①②③ 불리언 검색</t>
    </r>
    <r>
      <rPr>
        <sz val="10"/>
        <rFont val="Arial"/>
        <family val="0"/>
        <charset val="1"/>
      </rPr>
      <t xml:space="preserve">, 1986</t>
    </r>
    <r>
      <rPr>
        <sz val="10"/>
        <rFont val="WenQuanYi Zen Hei"/>
        <family val="2"/>
      </rPr>
      <t xml:space="preserve">년 이후</t>
    </r>
  </si>
  <si>
    <r>
      <rPr>
        <sz val="10"/>
        <rFont val="WenQuanYi Zen Hei"/>
        <family val="2"/>
      </rPr>
      <t xml:space="preserve">식별</t>
    </r>
    <r>
      <rPr>
        <sz val="10"/>
        <rFont val="Arial"/>
        <family val="0"/>
        <charset val="1"/>
      </rPr>
      <t xml:space="preserve">: Crossref </t>
    </r>
    <r>
      <rPr>
        <sz val="10"/>
        <rFont val="WenQuanYi Zen Hei"/>
        <family val="2"/>
      </rPr>
      <t xml:space="preserve">검색</t>
    </r>
  </si>
  <si>
    <r>
      <rPr>
        <sz val="10"/>
        <rFont val="Arial"/>
        <family val="0"/>
        <charset val="1"/>
      </rPr>
      <t xml:space="preserve">28</t>
    </r>
    <r>
      <rPr>
        <sz val="10"/>
        <rFont val="WenQuanYi Zen Hei"/>
        <family val="2"/>
      </rPr>
      <t xml:space="preserve">개 구문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관련도 상위 </t>
    </r>
    <r>
      <rPr>
        <sz val="10"/>
        <rFont val="Arial"/>
        <family val="0"/>
        <charset val="1"/>
      </rPr>
      <t xml:space="preserve">600</t>
    </r>
  </si>
  <si>
    <r>
      <rPr>
        <sz val="10"/>
        <rFont val="WenQuanYi Zen Hei"/>
        <family val="2"/>
      </rPr>
      <t xml:space="preserve">식별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핵심 학술지 </t>
    </r>
    <r>
      <rPr>
        <sz val="10"/>
        <rFont val="Arial"/>
        <family val="0"/>
        <charset val="1"/>
      </rPr>
      <t xml:space="preserve">16</t>
    </r>
    <r>
      <rPr>
        <sz val="10"/>
        <rFont val="WenQuanYi Zen Hei"/>
        <family val="2"/>
      </rPr>
      <t xml:space="preserve">종 전수</t>
    </r>
  </si>
  <si>
    <r>
      <rPr>
        <sz val="10"/>
        <rFont val="Arial"/>
        <family val="0"/>
        <charset val="1"/>
      </rPr>
      <t xml:space="preserve">REE·JREFE·JHE·JUE </t>
    </r>
    <r>
      <rPr>
        <sz val="10"/>
        <rFont val="WenQuanYi Zen Hei"/>
        <family val="2"/>
      </rPr>
      <t xml:space="preserve">등 </t>
    </r>
    <r>
      <rPr>
        <sz val="10"/>
        <rFont val="Arial"/>
        <family val="0"/>
        <charset val="1"/>
      </rPr>
      <t xml:space="preserve">1986</t>
    </r>
    <r>
      <rPr>
        <sz val="10"/>
        <rFont val="WenQuanYi Zen Hei"/>
        <family val="2"/>
      </rPr>
      <t xml:space="preserve">년 이후 모든 논문</t>
    </r>
  </si>
  <si>
    <r>
      <rPr>
        <sz val="10"/>
        <rFont val="WenQuanYi Zen Hei"/>
        <family val="2"/>
      </rPr>
      <t xml:space="preserve">식별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인용 추적</t>
    </r>
  </si>
  <si>
    <r>
      <rPr>
        <sz val="10"/>
        <rFont val="WenQuanYi Zen Hei"/>
        <family val="2"/>
      </rPr>
      <t xml:space="preserve">핵심 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편을 인용한 논문</t>
    </r>
  </si>
  <si>
    <r>
      <rPr>
        <sz val="10"/>
        <rFont val="WenQuanYi Zen Hei"/>
        <family val="2"/>
      </rPr>
      <t xml:space="preserve">식별</t>
    </r>
    <r>
      <rPr>
        <sz val="10"/>
        <rFont val="Arial"/>
        <family val="0"/>
        <charset val="1"/>
      </rPr>
      <t xml:space="preserve">: OpenAlex </t>
    </r>
    <r>
      <rPr>
        <sz val="10"/>
        <rFont val="WenQuanYi Zen Hei"/>
        <family val="2"/>
      </rPr>
      <t xml:space="preserve">보완 검색</t>
    </r>
  </si>
  <si>
    <r>
      <rPr>
        <sz val="10"/>
        <rFont val="WenQuanYi Zen Hei"/>
        <family val="2"/>
      </rPr>
      <t xml:space="preserve">제목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초록 불리언</t>
    </r>
    <r>
      <rPr>
        <sz val="10"/>
        <rFont val="Arial"/>
        <family val="0"/>
        <charset val="1"/>
      </rPr>
      <t xml:space="preserve">, API </t>
    </r>
    <r>
      <rPr>
        <sz val="10"/>
        <rFont val="WenQuanYi Zen Hei"/>
        <family val="2"/>
      </rPr>
      <t xml:space="preserve">키 사용</t>
    </r>
  </si>
  <si>
    <t xml:space="preserve">식별 합계</t>
  </si>
  <si>
    <t xml:space="preserve">위 다섯 줄의 합</t>
  </si>
  <si>
    <t xml:space="preserve">중복 제거 후</t>
  </si>
  <si>
    <r>
      <rPr>
        <sz val="10"/>
        <rFont val="Arial"/>
        <family val="0"/>
        <charset val="1"/>
      </rPr>
      <t xml:space="preserve">DOI·</t>
    </r>
    <r>
      <rPr>
        <sz val="10"/>
        <rFont val="WenQuanYi Zen Hei"/>
        <family val="2"/>
      </rPr>
      <t xml:space="preserve">제목으로 같은 논문 합침</t>
    </r>
  </si>
  <si>
    <r>
      <rPr>
        <sz val="10"/>
        <rFont val="WenQuanYi Zen Hei"/>
        <family val="2"/>
      </rPr>
      <t xml:space="preserve">제목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초록 판독</t>
    </r>
  </si>
  <si>
    <r>
      <rPr>
        <sz val="10"/>
        <rFont val="WenQuanYi Zen Hei"/>
        <family val="2"/>
      </rPr>
      <t xml:space="preserve">규칙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주택 맥락어</t>
    </r>
    <r>
      <rPr>
        <sz val="10"/>
        <rFont val="Arial"/>
        <family val="0"/>
        <charset val="1"/>
      </rPr>
      <t xml:space="preserve">+</t>
    </r>
    <r>
      <rPr>
        <sz val="10"/>
        <rFont val="WenQuanYi Zen Hei"/>
        <family val="2"/>
      </rPr>
      <t xml:space="preserve">유동성 지표어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을 통과한 것을 한 편씩 읽음</t>
    </r>
  </si>
  <si>
    <r>
      <rPr>
        <sz val="10"/>
        <rFont val="WenQuanYi Zen Hei"/>
        <family val="2"/>
      </rPr>
      <t xml:space="preserve">제목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초록 통과</t>
    </r>
  </si>
  <si>
    <r>
      <rPr>
        <sz val="10"/>
        <rFont val="WenQuanYi Zen Hei"/>
        <family val="2"/>
      </rPr>
      <t xml:space="preserve">주거용 매매시장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학술지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유동성 지표를 다룸</t>
    </r>
  </si>
  <si>
    <r>
      <rPr>
        <sz val="10"/>
        <rFont val="WenQuanYi Zen Hei"/>
        <family val="2"/>
      </rPr>
      <t xml:space="preserve">→ 배경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이론 모형</t>
    </r>
    <r>
      <rPr>
        <sz val="10"/>
        <rFont val="Arial"/>
        <family val="0"/>
        <charset val="1"/>
      </rPr>
      <t xml:space="preserve">)</t>
    </r>
  </si>
  <si>
    <t xml:space="preserve">서론에서 인용만</t>
  </si>
  <si>
    <t xml:space="preserve">→ 증거지도</t>
  </si>
  <si>
    <r>
      <rPr>
        <sz val="10"/>
        <rFont val="WenQuanYi Zen Hei"/>
        <family val="2"/>
      </rPr>
      <t xml:space="preserve">지표를 다른 요인의 결과변수로만 씀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건수 그림만</t>
    </r>
  </si>
  <si>
    <t xml:space="preserve">→ 종합 대상</t>
  </si>
  <si>
    <r>
      <rPr>
        <b val="true"/>
        <sz val="10"/>
        <rFont val="WenQuanYi Zen Hei"/>
        <family val="2"/>
      </rPr>
      <t xml:space="preserve">지표 자체가 연구 대상</t>
    </r>
    <r>
      <rPr>
        <b val="true"/>
        <sz val="10"/>
        <rFont val="Arial"/>
        <family val="0"/>
        <charset val="1"/>
      </rPr>
      <t xml:space="preserve">. </t>
    </r>
    <r>
      <rPr>
        <b val="true"/>
        <sz val="10"/>
        <rFont val="WenQuanYi Zen Hei"/>
        <family val="2"/>
      </rPr>
      <t xml:space="preserve">교수 승인 </t>
    </r>
    <r>
      <rPr>
        <b val="true"/>
        <sz val="10"/>
        <rFont val="Arial"/>
        <family val="0"/>
        <charset val="1"/>
      </rPr>
      <t xml:space="preserve">2026-10-11</t>
    </r>
  </si>
  <si>
    <r>
      <rPr>
        <sz val="10"/>
        <rFont val="WenQuanYi Zen Hei"/>
        <family val="2"/>
      </rPr>
      <t xml:space="preserve">확인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배경</t>
    </r>
    <r>
      <rPr>
        <sz val="10"/>
        <rFont val="Arial"/>
        <family val="0"/>
        <charset val="1"/>
      </rPr>
      <t xml:space="preserve">+</t>
    </r>
    <r>
      <rPr>
        <sz val="10"/>
        <rFont val="WenQuanYi Zen Hei"/>
        <family val="2"/>
      </rPr>
      <t xml:space="preserve">증거지도</t>
    </r>
    <r>
      <rPr>
        <sz val="10"/>
        <rFont val="Arial"/>
        <family val="0"/>
        <charset val="1"/>
      </rPr>
      <t xml:space="preserve">+</t>
    </r>
    <r>
      <rPr>
        <sz val="10"/>
        <rFont val="WenQuanYi Zen Hei"/>
        <family val="2"/>
      </rPr>
      <t xml:space="preserve">종합</t>
    </r>
  </si>
  <si>
    <t xml:space="preserve">출처</t>
  </si>
  <si>
    <r>
      <rPr>
        <sz val="10"/>
        <rFont val="WenQuanYi Zen Hei"/>
        <family val="2"/>
      </rPr>
      <t xml:space="preserve">저장소 </t>
    </r>
    <r>
      <rPr>
        <sz val="10"/>
        <rFont val="Arial"/>
        <family val="0"/>
        <charset val="1"/>
      </rPr>
      <t xml:space="preserve">review/prisma_flow.md (2026-10-10 </t>
    </r>
    <r>
      <rPr>
        <sz val="10"/>
        <rFont val="WenQuanYi Zen Hei"/>
        <family val="2"/>
      </rPr>
      <t xml:space="preserve">실행</t>
    </r>
    <r>
      <rPr>
        <sz val="10"/>
        <rFont val="Arial"/>
        <family val="0"/>
        <charset val="1"/>
      </rPr>
      <t xml:space="preserve">)</t>
    </r>
  </si>
  <si>
    <t xml:space="preserve">구분</t>
  </si>
  <si>
    <t xml:space="preserve">지표층</t>
  </si>
  <si>
    <t xml:space="preserve">상태</t>
  </si>
  <si>
    <t xml:space="preserve">종합</t>
  </si>
  <si>
    <t xml:space="preserve">A/C</t>
  </si>
  <si>
    <t xml:space="preserve">I</t>
  </si>
  <si>
    <t xml:space="preserve">A</t>
  </si>
  <si>
    <t xml:space="preserve">A/D</t>
  </si>
  <si>
    <t xml:space="preserve">B</t>
  </si>
  <si>
    <t xml:space="preserve">B/C</t>
  </si>
  <si>
    <t xml:space="preserve">B/D</t>
  </si>
  <si>
    <t xml:space="preserve">B/C/D</t>
  </si>
  <si>
    <t xml:space="preserve">C</t>
  </si>
  <si>
    <t xml:space="preserve">C/B</t>
  </si>
  <si>
    <t xml:space="preserve">I?</t>
  </si>
  <si>
    <t xml:space="preserve">C/D</t>
  </si>
  <si>
    <t xml:space="preserve">D</t>
  </si>
  <si>
    <t xml:space="preserve">D/A</t>
  </si>
  <si>
    <r>
      <rPr>
        <sz val="10"/>
        <rFont val="WenQuanYi Zen Hei"/>
        <family val="2"/>
      </rPr>
      <t xml:space="preserve">배경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이론</t>
    </r>
    <r>
      <rPr>
        <sz val="10"/>
        <rFont val="Arial"/>
        <family val="0"/>
        <charset val="1"/>
      </rPr>
      <t xml:space="preserve">)</t>
    </r>
  </si>
  <si>
    <t xml:space="preserve">Price Strategies for Idiosyncratic Goods—The Case of Housing</t>
  </si>
  <si>
    <t xml:space="preserve">10.1111/1540-6229.00462</t>
  </si>
  <si>
    <t xml:space="preserve">T</t>
  </si>
  <si>
    <t xml:space="preserve">A Simple Search and Bargaining Model of Real Estate Markets</t>
  </si>
  <si>
    <t xml:space="preserve">10.1111/1540-6229.00595</t>
  </si>
  <si>
    <t xml:space="preserve">Contigent Price Contracts and the Efficiency of Housing Markets</t>
  </si>
  <si>
    <t xml:space="preserve">10.1111/1540-6229.00650</t>
  </si>
  <si>
    <t xml:space="preserve">Prices and Trading Volume in the Housing Market: A Model with Down-Payment Effects</t>
  </si>
  <si>
    <t xml:space="preserve">Quarterly Journal of Economics</t>
  </si>
  <si>
    <t xml:space="preserve">10.2307/2118444</t>
  </si>
  <si>
    <t xml:space="preserve">Time-on-the-Market as a Sign of Quality</t>
  </si>
  <si>
    <t xml:space="preserve">Review of Economic Studies</t>
  </si>
  <si>
    <t xml:space="preserve">10.1111/1467-937x.00098</t>
  </si>
  <si>
    <t xml:space="preserve">A Theory of Liquidity in Residential Real Estate Markets</t>
  </si>
  <si>
    <t xml:space="preserve">10.1006/juec.2000.2180</t>
  </si>
  <si>
    <t xml:space="preserve">Efficiency of Housing Market</t>
  </si>
  <si>
    <t xml:space="preserve">The Japanese Journal of Real Estate Sciences</t>
  </si>
  <si>
    <t xml:space="preserve">10.5736/jares1985.18.22</t>
  </si>
  <si>
    <t xml:space="preserve">C/T</t>
  </si>
  <si>
    <t xml:space="preserve">Real Estate Returns and Risk with Heterogeneous Investors</t>
  </si>
  <si>
    <t xml:space="preserve">10.1111/j.1540-6229.2008.00229.x</t>
  </si>
  <si>
    <t xml:space="preserve">House Prices, Sales and Time on the Market: A Search-Theoretic Framework</t>
  </si>
  <si>
    <t xml:space="preserve">International Economic Review</t>
  </si>
  <si>
    <t xml:space="preserve">10.1111/iere.12019</t>
  </si>
  <si>
    <t xml:space="preserve">A Disequilibrium Model of the Market for Houses: Implicit Selling Time as a Signal of Optimal Holding Periods and Buyer Valuation</t>
  </si>
  <si>
    <t xml:space="preserve">10.1177/0042098010385156</t>
  </si>
  <si>
    <t xml:space="preserve">The Determination Of Optimal Reservation Price Setting For Homeowners</t>
  </si>
  <si>
    <t xml:space="preserve">Journal of Business &amp; Economics Research (JBER)</t>
  </si>
  <si>
    <t xml:space="preserve">10.19030/jber.v2i7.2896</t>
  </si>
  <si>
    <t xml:space="preserve">Why Do Sellers Hold Out in the Housing Market? An Option‐Based Explanation</t>
  </si>
  <si>
    <t xml:space="preserve">10.1111/j.1540-6229.2012.00345.x</t>
  </si>
  <si>
    <t xml:space="preserve">An Empirical Stationary Equilibrium Search Model of the Housing Market</t>
  </si>
  <si>
    <t xml:space="preserve">10.1111/j.1468-2354.2011.00677.x</t>
  </si>
  <si>
    <t xml:space="preserve">Search and matching in the housing market</t>
  </si>
  <si>
    <t xml:space="preserve">10.1016/j.jue.2012.01.002</t>
  </si>
  <si>
    <t xml:space="preserve">A/T</t>
  </si>
  <si>
    <t xml:space="preserve">EMINENT PAPER SERIES — WHY DO INVENTORIES RISE WHEN DEMAND FALLS IN HOUSING AND OTHER MARKETS?</t>
  </si>
  <si>
    <t xml:space="preserve">The Singapore Economic Review</t>
  </si>
  <si>
    <t xml:space="preserve">10.1142/s0217590812500075</t>
  </si>
  <si>
    <t xml:space="preserve">Pricing in an Illiquid Real Estate Market</t>
  </si>
  <si>
    <t xml:space="preserve">10.1080/10835547.2013.12091351</t>
  </si>
  <si>
    <t xml:space="preserve">Search, Liquidity, and the Dynamics of House Prices and Construction</t>
  </si>
  <si>
    <t xml:space="preserve">10.1257/aer.104.4.1172</t>
  </si>
  <si>
    <t xml:space="preserve">Agent-Based Simulation of the Search Behavior in China's Resale Housing Market: Evidence from Beijing</t>
  </si>
  <si>
    <t xml:space="preserve">Journal of Artificial Societies and Social Simulation</t>
  </si>
  <si>
    <t xml:space="preserve">10.18564/jasss.2360</t>
  </si>
  <si>
    <t xml:space="preserve">Estimating the housing price with a search-and-matching model</t>
  </si>
  <si>
    <t xml:space="preserve">10.1108/jerer-09-2014-0035</t>
  </si>
  <si>
    <t xml:space="preserve">Illiquidity and its discontents: Trading delays and foreclosures in the housing market</t>
  </si>
  <si>
    <t xml:space="preserve">Journal of Monetary Economics</t>
  </si>
  <si>
    <t xml:space="preserve">10.1016/j.jmoneco.2016.08.005</t>
  </si>
  <si>
    <t xml:space="preserve">The cyclical dynamics of illiquid housing, debt, and foreclosures</t>
  </si>
  <si>
    <t xml:space="preserve">Quantitative Economics</t>
  </si>
  <si>
    <t xml:space="preserve">10.3982/qe483</t>
  </si>
  <si>
    <t xml:space="preserve">Directed search in the housing market</t>
  </si>
  <si>
    <t xml:space="preserve">Review of Economic Dynamics</t>
  </si>
  <si>
    <t xml:space="preserve">10.1016/j.red.2015.05.002</t>
  </si>
  <si>
    <t xml:space="preserve">Borrowing constraints and housing market liquidity</t>
  </si>
  <si>
    <t xml:space="preserve">10.1016/j.red.2017.07.003</t>
  </si>
  <si>
    <t xml:space="preserve">Divergence in Reservation Prices and Its Impact on Housing Market Liquidity: A Theoretical Analysis</t>
  </si>
  <si>
    <t xml:space="preserve">Journal of Management Science and Engineering</t>
  </si>
  <si>
    <t xml:space="preserve">10.3724/sp.j.1383.303008</t>
  </si>
  <si>
    <t xml:space="preserve">Volatility and Liquidity in the Real Estate Market</t>
  </si>
  <si>
    <t xml:space="preserve">10.1080/10835547.2018.12091511</t>
  </si>
  <si>
    <t xml:space="preserve">The cyclical behavior of the Beveridge Curve in the housing market</t>
  </si>
  <si>
    <t xml:space="preserve">Journal of Economic Theory</t>
  </si>
  <si>
    <t xml:space="preserve">10.1016/j.jet.2019.03.003</t>
  </si>
  <si>
    <t xml:space="preserve">Theoretical Analysis about the Transaction Price in the Existing Home Market</t>
  </si>
  <si>
    <t xml:space="preserve">10.5736/jares.33.3_79</t>
  </si>
  <si>
    <t xml:space="preserve">High and low activity spells in housing markets</t>
  </si>
  <si>
    <t xml:space="preserve">Review of economic dynamics (Print)</t>
  </si>
  <si>
    <t xml:space="preserve">10.1016/j.red.2019.07.004</t>
  </si>
  <si>
    <t xml:space="preserve">Mortgage Debt, Consumption, and Illiquid Housing Markets in the Great Recession</t>
  </si>
  <si>
    <t xml:space="preserve">10.1257/aer.20170772</t>
  </si>
  <si>
    <t xml:space="preserve">How Do Foreclosures Exacerbate Housing Downturns?</t>
  </si>
  <si>
    <t xml:space="preserve">The Review of Economic Studies</t>
  </si>
  <si>
    <t xml:space="preserve">10.1093/restud/rdaa001</t>
  </si>
  <si>
    <t xml:space="preserve">The Mortensen-Pissarides model and the empirical facts of housing markets</t>
  </si>
  <si>
    <t xml:space="preserve">10.1108/jerer-07-2020-0044</t>
  </si>
  <si>
    <t xml:space="preserve">Search and credit frictions in the housing market</t>
  </si>
  <si>
    <t xml:space="preserve">European Economic Review</t>
  </si>
  <si>
    <t xml:space="preserve">10.1016/j.euroecorev.2021.103699</t>
  </si>
  <si>
    <t xml:space="preserve">A Search and Matching Model of the Housing Market and the Dynamic Effects of Financial Shocks</t>
  </si>
  <si>
    <t xml:space="preserve">10.52344/hfr.2022.6.2.5</t>
  </si>
  <si>
    <t xml:space="preserve">Optimal Real Estate Pricing and Offer Acceptance Strategy</t>
  </si>
  <si>
    <t xml:space="preserve">IEEE Access</t>
  </si>
  <si>
    <t xml:space="preserve">10.1109/access.2023.3284549</t>
  </si>
  <si>
    <t xml:space="preserve">B/T</t>
  </si>
  <si>
    <t xml:space="preserve">House prices and sales: A search-matching model of housing market</t>
  </si>
  <si>
    <t xml:space="preserve">10.38100/jhuf.2023.8.2.25</t>
  </si>
  <si>
    <t xml:space="preserve">Home construction financing and search frictions in the housing market</t>
  </si>
  <si>
    <t xml:space="preserve">10.1016/j.red.2024.101253</t>
  </si>
  <si>
    <t xml:space="preserve">Price dispersion and price stickiness in a competitive search model of housing markets</t>
  </si>
  <si>
    <t xml:space="preserve">Economic Theory</t>
  </si>
  <si>
    <t xml:space="preserve">10.1007/s00199-025-01659-z</t>
  </si>
  <si>
    <t xml:space="preserve">증거지도</t>
  </si>
  <si>
    <t xml:space="preserve">Qualitative Response Estimations of the Selling Behaviour in the Swedish Market for Owner-Occupied Houses</t>
  </si>
  <si>
    <t xml:space="preserve">10.1080/00420988820080071</t>
  </si>
  <si>
    <t xml:space="preserve">A/B</t>
  </si>
  <si>
    <t xml:space="preserve">Non Uniform Percentage Brokerage Commissions and Real Estate Market Performance</t>
  </si>
  <si>
    <t xml:space="preserve">10.1111/1540-6229.00501</t>
  </si>
  <si>
    <t xml:space="preserve">Selling price, financing premiums, and days on the market</t>
  </si>
  <si>
    <t xml:space="preserve">10.1007/bf00152349</t>
  </si>
  <si>
    <t xml:space="preserve">The role of the list price in housing markets: Theory and an econometric model</t>
  </si>
  <si>
    <t xml:space="preserve">Journal of Applied Econometrics</t>
  </si>
  <si>
    <t xml:space="preserve">10.1002/jae.3950070202</t>
  </si>
  <si>
    <t xml:space="preserve">Mispricing and Optimal Time on the Market</t>
  </si>
  <si>
    <t xml:space="preserve">10.1080/10835547.1993.12090697</t>
  </si>
  <si>
    <t xml:space="preserve">Price concessions, time on the market, and the actual sale price of homes</t>
  </si>
  <si>
    <t xml:space="preserve">10.1007/bf01097024</t>
  </si>
  <si>
    <t xml:space="preserve">Equity and Time to Sale in the Real Estate Market</t>
  </si>
  <si>
    <t xml:space="preserve">The American Economic Review</t>
  </si>
  <si>
    <t xml:space="preserve">10.1257/aer.87.3.255</t>
  </si>
  <si>
    <t xml:space="preserve">List price signaling and buyer behavior in the housing market</t>
  </si>
  <si>
    <t xml:space="preserve">10.1007/bf01099271</t>
  </si>
  <si>
    <t xml:space="preserve">The Strategic Role of Listing Price in Marketing Real Estate: Theory and Evidence</t>
  </si>
  <si>
    <t xml:space="preserve">10.1111/1540-6229.00668</t>
  </si>
  <si>
    <t xml:space="preserve">Determinants of Bargaining Outcome in Single-family Housing Transactions: An Empirical Examination</t>
  </si>
  <si>
    <t xml:space="preserve">10.1080/00420989550012997</t>
  </si>
  <si>
    <t xml:space="preserve">Bigger is not Better: Brokerage and Time on the Market</t>
  </si>
  <si>
    <t xml:space="preserve">10.1080/10835547.1995.12090770</t>
  </si>
  <si>
    <t xml:space="preserve">The use of information versus asking price in the real property negotiation process</t>
  </si>
  <si>
    <t xml:space="preserve">10.1080/095999196368808</t>
  </si>
  <si>
    <t xml:space="preserve">Search and Liquidity in Single-Family Housing</t>
  </si>
  <si>
    <t xml:space="preserve">10.1111/1540-6229.00691</t>
  </si>
  <si>
    <t xml:space="preserve">Single-family housing transactions: Seller motivations, price, and marketing time</t>
  </si>
  <si>
    <t xml:space="preserve">10.1007/bf00217393</t>
  </si>
  <si>
    <t xml:space="preserve">Time on the Market: The Impact of Residential Brokerage.</t>
  </si>
  <si>
    <t xml:space="preserve">10.1080/10835547.1996.12090852</t>
  </si>
  <si>
    <t xml:space="preserve">Time on market and sales price of residential housing: A note</t>
  </si>
  <si>
    <t xml:space="preserve">Journal of Economics and Finance</t>
  </si>
  <si>
    <t xml:space="preserve">10.1007/bf02920764</t>
  </si>
  <si>
    <t xml:space="preserve">Selling Time and Selling Price: The Influence of Seller Motivation</t>
  </si>
  <si>
    <t xml:space="preserve">10.1111/1540-6229.00763</t>
  </si>
  <si>
    <t xml:space="preserve">Search, Bargaining and Optimal Asking Prices</t>
  </si>
  <si>
    <t xml:space="preserve">10.1111/1540-6229.00780</t>
  </si>
  <si>
    <t xml:space="preserve">Buyer Search Intensity and the Role of the Residential Real Estate Broker</t>
  </si>
  <si>
    <t xml:space="preserve">10.1023/a:1007737102125</t>
  </si>
  <si>
    <t xml:space="preserve">Time On-market and Price Trade-offs in High-rise Housing Sub-markets</t>
  </si>
  <si>
    <t xml:space="preserve">10.1080/713707223</t>
  </si>
  <si>
    <t xml:space="preserve">Environmental Conditions, Reservation Prices, and Time on the Market for Housing</t>
  </si>
  <si>
    <t xml:space="preserve">10.1023/a:1007891430162</t>
  </si>
  <si>
    <t xml:space="preserve">The Trade-off Between the Selling Price of Residential Properties and Time-on-the-Market: The Impact of Price Setting</t>
  </si>
  <si>
    <t xml:space="preserve">10.1023/a:1021526332732</t>
  </si>
  <si>
    <t xml:space="preserve">Loss Aversion and Seller Behavior: Evidence from the Housing Market</t>
  </si>
  <si>
    <t xml:space="preserve">The Quarterly Journal of Economics</t>
  </si>
  <si>
    <t xml:space="preserve">10.1162/003355301753265561</t>
  </si>
  <si>
    <t xml:space="preserve">Exterior Insulation and Finish Systems: The Effect on Residential Housing Prices and Marketing Time</t>
  </si>
  <si>
    <t xml:space="preserve">10.1080/10835547.2001.12091065</t>
  </si>
  <si>
    <t xml:space="preserve">The Impacts of Contract Type on Broker Performance</t>
  </si>
  <si>
    <t xml:space="preserve">10.1111/1080-8620.00016</t>
  </si>
  <si>
    <t xml:space="preserve">The Listing Broker Phenomenon: Does the Listing Broker Impact the Percentage of Asking Price Realized in a Residential Sale?</t>
  </si>
  <si>
    <t xml:space="preserve">Academy of Accounting and Financial Studies Journal</t>
  </si>
  <si>
    <t xml:space="preserve">Liquidity and Price Differentials: Evidence in the Hong Kong Residential Re-sale Market</t>
  </si>
  <si>
    <t xml:space="preserve">Housing Studies</t>
  </si>
  <si>
    <t xml:space="preserve">10.1080/02673030304256</t>
  </si>
  <si>
    <t xml:space="preserve">TOM: Why isn't Price Enough?</t>
  </si>
  <si>
    <t xml:space="preserve">10.2139/ssrn.406101</t>
  </si>
  <si>
    <t xml:space="preserve">Estimating Bargaining Effects in Hedonic Models: Evidence from the Housing Market</t>
  </si>
  <si>
    <t xml:space="preserve">10.1046/j.1080-8620.2003.00078.x</t>
  </si>
  <si>
    <t xml:space="preserve">Upgrading programme in public housing: an assessment of price and liquidity enhancements</t>
  </si>
  <si>
    <t xml:space="preserve">10.1080/0959991042000328829</t>
  </si>
  <si>
    <t xml:space="preserve">Charm Pricing as a Signal of Listing Price Precision</t>
  </si>
  <si>
    <t xml:space="preserve">10.1080/10835547.2004.12091967</t>
  </si>
  <si>
    <t xml:space="preserve">The Effects of Charm Listing Prices on House Transaction Prices</t>
  </si>
  <si>
    <t xml:space="preserve">10.1111/j.1080-8620.2004.00108.x</t>
  </si>
  <si>
    <t xml:space="preserve">Salesperson Bonuses and Their Impact on Residential Property Price and Time on Market</t>
  </si>
  <si>
    <t xml:space="preserve">10.1080/10835547.2004.12091605</t>
  </si>
  <si>
    <t xml:space="preserve">The Impact of Pricing on Time-on-Market in High-Rise Multiple-Unit Residential Developments</t>
  </si>
  <si>
    <t xml:space="preserve">10.1080/14445921.2004.11104165</t>
  </si>
  <si>
    <t xml:space="preserve">The Impact of Range Pricing on Marketing Time and Transaction Price: A Better Mousetrap for the Existing Home Market?</t>
  </si>
  <si>
    <t xml:space="preserve">10.1007/s11146-005-0994-4</t>
  </si>
  <si>
    <t xml:space="preserve">Conflicts between principals and agents: evidence from residential brokerage</t>
  </si>
  <si>
    <t xml:space="preserve">Journal of Financial Economics</t>
  </si>
  <si>
    <t xml:space="preserve">10.1016/j.jfineco.2004.06.006</t>
  </si>
  <si>
    <t xml:space="preserve">Housing Price Dispersion: An Empirical Investigation</t>
  </si>
  <si>
    <t xml:space="preserve">10.1007/s11146-006-6806-7</t>
  </si>
  <si>
    <t xml:space="preserve">Offer price, transaction price and time-on-market</t>
  </si>
  <si>
    <t xml:space="preserve">Property Management</t>
  </si>
  <si>
    <t xml:space="preserve">10.1108/02637470610671631</t>
  </si>
  <si>
    <t xml:space="preserve">Illiquidity and Pricing Biases in the Real Estate Market</t>
  </si>
  <si>
    <t xml:space="preserve">10.1111/j.1540-6229.2007.00191.x</t>
  </si>
  <si>
    <t xml:space="preserve">The Effect of Time-on-Market and Location on Search Costs and Anchoring: The Case of Single-Family Properties</t>
  </si>
  <si>
    <t xml:space="preserve">10.1007/s11146-007-9034-x</t>
  </si>
  <si>
    <t xml:space="preserve">Off-Dollar Pricing, Residential Property Prices, and Marketing Time</t>
  </si>
  <si>
    <t xml:space="preserve">10.1080/10835547.2007.12091974</t>
  </si>
  <si>
    <t xml:space="preserve">A Model of Time-on-Market and Real Estate Price Under Sequential Search with Recall</t>
  </si>
  <si>
    <t xml:space="preserve">10.1111/j.1540-6229.2008.00231.x</t>
  </si>
  <si>
    <t xml:space="preserve">Determinants of housing liquidity in Chinese cities: Does market maturity matter?</t>
  </si>
  <si>
    <t xml:space="preserve">Tsinghua Science &amp; Technology</t>
  </si>
  <si>
    <t xml:space="preserve">10.1016/s1007-0214(08)70112-3</t>
  </si>
  <si>
    <t xml:space="preserve">Evidence of Buyer Bargaining Power in the Stockholm Residential Real Estate Market</t>
  </si>
  <si>
    <t xml:space="preserve">10.1080/10835547.2008.12091227</t>
  </si>
  <si>
    <t xml:space="preserve">School Quality, House Prices and Liquidity</t>
  </si>
  <si>
    <t xml:space="preserve">10.1007/s11146-007-9081-3</t>
  </si>
  <si>
    <t xml:space="preserve">Market Distortions When Agents Are Better Informed: The Value of Information in Real Estate Transactions</t>
  </si>
  <si>
    <t xml:space="preserve">10.1162/rest.90.4.599</t>
  </si>
  <si>
    <t xml:space="preserve">Architectural Review Boards and Their Impact on Property Price and Time-on-Market</t>
  </si>
  <si>
    <t xml:space="preserve">10.1080/10835547.2009.12091999</t>
  </si>
  <si>
    <t xml:space="preserve">Selling Price and Marketing Time in the Residential Real Estate Market</t>
  </si>
  <si>
    <t xml:space="preserve">10.1080/10835547.1989.12090570</t>
  </si>
  <si>
    <t xml:space="preserve">Price Adjustment and Liquidity in a Residential Real Estate Market with an Accelerated Information Cascade</t>
  </si>
  <si>
    <t xml:space="preserve">10.1080/10835547.2009.12091260</t>
  </si>
  <si>
    <t xml:space="preserve">Pricing and Time on the Market for Residential Properties in a Major U.K. City</t>
  </si>
  <si>
    <t xml:space="preserve">Real Estate</t>
  </si>
  <si>
    <t xml:space="preserve">10.1080/10835547.2009.12091239</t>
  </si>
  <si>
    <t xml:space="preserve">Hot and Cold Markets</t>
  </si>
  <si>
    <t xml:space="preserve">10.1111/j.1540-6229.2009.00232.x</t>
  </si>
  <si>
    <t xml:space="preserve">The Relative Performance of Real Estate Marketing Platforms: MLS versus FSBOMadison.com</t>
  </si>
  <si>
    <t xml:space="preserve">10.1257/aer.99.5.1878</t>
  </si>
  <si>
    <t xml:space="preserve">The Influence of Contingent Closing Costs on Sale Price, Time on Market, and Probability of Sale</t>
  </si>
  <si>
    <t xml:space="preserve">10.1080/10835547.2009.12092008</t>
  </si>
  <si>
    <t xml:space="preserve">Neighborhood amenity packages, property price, and marketing time</t>
  </si>
  <si>
    <t xml:space="preserve">10.1108/02637470910998483</t>
  </si>
  <si>
    <t xml:space="preserve">Estimating the House Foreclosure Discount Corrected for Spatial Price Interdependence and Endogeneity of Marketing Time</t>
  </si>
  <si>
    <t xml:space="preserve">10.1111/j.1540-6229.2009.00234.x</t>
  </si>
  <si>
    <t xml:space="preserve">Sole agency vs multi‐agency: an investigation of agency practice across England and Wales</t>
  </si>
  <si>
    <t xml:space="preserve">10.1108/02637470910979998</t>
  </si>
  <si>
    <t xml:space="preserve">The effect of time on market and location in the housing market: A case study in taoyuan metropolitan area</t>
  </si>
  <si>
    <t xml:space="preserve">Asia-Pacific Management Review</t>
  </si>
  <si>
    <t xml:space="preserve">10.6126/apmr.2010.15.2.04</t>
  </si>
  <si>
    <t xml:space="preserve">Illiquidity, transaction cost, and optimal holding period for real estate: Theory and application</t>
  </si>
  <si>
    <t xml:space="preserve">10.1016/j.jhe.2010.03.002</t>
  </si>
  <si>
    <t xml:space="preserve">Listing Contract Length and Time on Market</t>
  </si>
  <si>
    <t xml:space="preserve">10.1080/10835547.2010.12091285</t>
  </si>
  <si>
    <t xml:space="preserve">List Prices, Sale Prices and Marketing Time: An Application to U.S. Housing Markets</t>
  </si>
  <si>
    <t xml:space="preserve">10.1111/j.1540-6229.2010.00279.x</t>
  </si>
  <si>
    <t xml:space="preserve">Home Price, Time-on-Market, and Seller Heterogeneity Under Changing Market Conditions</t>
  </si>
  <si>
    <t xml:space="preserve">10.1007/s11146-009-9167-1</t>
  </si>
  <si>
    <t xml:space="preserve">Why Do Vacant Houses Sell for Less: Holding Costs, Bargaining Power or Stigma?</t>
  </si>
  <si>
    <t xml:space="preserve">10.1111/j.1540-6229.2010.00285.x</t>
  </si>
  <si>
    <t xml:space="preserve">The Transitory and Legacy Effects of the Rental Externality on House Price and Liquidity</t>
  </si>
  <si>
    <t xml:space="preserve">10.1007/s11146-010-9235-6</t>
  </si>
  <si>
    <t xml:space="preserve">Housing prices and the optimal time-on-the-market decision</t>
  </si>
  <si>
    <t xml:space="preserve">10.1016/j.frl.2011.06.001</t>
  </si>
  <si>
    <t xml:space="preserve">Time-On-Market and House Prices in Auckland, New Zealand</t>
  </si>
  <si>
    <t xml:space="preserve">10.1080/14445921.2011.11104318</t>
  </si>
  <si>
    <t xml:space="preserve">On the Relationship Between Property Price, Time-on-Market, and Photo Depictions in a Multiple Listing Service</t>
  </si>
  <si>
    <t xml:space="preserve">10.1007/s11146-009-9219-6</t>
  </si>
  <si>
    <t xml:space="preserve">Liquidity and Information Asymmetry in the Real Estate Market</t>
  </si>
  <si>
    <t xml:space="preserve">10.1007/s11146-011-9326-z</t>
  </si>
  <si>
    <t xml:space="preserve">Let the Buyer or Seller Beware: Measuring Lemons in the Housing Market under Different Doctrines of Law Governing Transactions and Information</t>
  </si>
  <si>
    <t xml:space="preserve">The Journal of Law and Economics</t>
  </si>
  <si>
    <t xml:space="preserve">10.1086/661941</t>
  </si>
  <si>
    <t xml:space="preserve">Sale Price, Marketing Time, and Limited Service Listings: The Influence of Home Value and Market Conditions</t>
  </si>
  <si>
    <t xml:space="preserve">10.1080/10835547.2011.12091320</t>
  </si>
  <si>
    <t xml:space="preserve">In Search of Value: How Subdivision Names Influence House Prices and Marketing Duration</t>
  </si>
  <si>
    <t xml:space="preserve">Housing and Society</t>
  </si>
  <si>
    <t xml:space="preserve">10.1080/08882746.2012.11430600</t>
  </si>
  <si>
    <t xml:space="preserve">The impact of pricing strategies on time-on-market under various economic conditions</t>
  </si>
  <si>
    <t xml:space="preserve">10.3846/1648715x.2011.585185</t>
  </si>
  <si>
    <t xml:space="preserve">Optimal Pricing Strategy in the Case of Price Dispersion: New Evidence from the Tokyo Housing Market</t>
  </si>
  <si>
    <t xml:space="preserve">10.1111/j.1540-6229.2012.00347.x</t>
  </si>
  <si>
    <t xml:space="preserve">Further Assessment of the Efficiency Effects of Internet Use in Home Search</t>
  </si>
  <si>
    <t xml:space="preserve">10.1080/10835547.2012.12091344</t>
  </si>
  <si>
    <t xml:space="preserve">Marketing Time and Pricing Strategies</t>
  </si>
  <si>
    <t xml:space="preserve">10.1080/10835547.2012.12091342</t>
  </si>
  <si>
    <t xml:space="preserve">Discount Brokerage in Residential Real Estate Markets</t>
  </si>
  <si>
    <t xml:space="preserve">10.1111/j.1540-6229.2011.00319.x</t>
  </si>
  <si>
    <t xml:space="preserve">Quality &amp; Time-on-the-Market in Residential Markets</t>
  </si>
  <si>
    <t xml:space="preserve">10.1007/s11146-010-9237-4</t>
  </si>
  <si>
    <t xml:space="preserve">The Effects of Estate Sales of Residential Real Estate on Price and Marketing Time</t>
  </si>
  <si>
    <t xml:space="preserve">10.1007/s11146-011-9301-8</t>
  </si>
  <si>
    <t xml:space="preserve">Technology in Residential Brokerage: Showing Appointment Scheduling Services, Property Prices, and Marketing Times</t>
  </si>
  <si>
    <t xml:space="preserve">10.1080/10835547.2012.12091701</t>
  </si>
  <si>
    <t xml:space="preserve">Explaining the Pace of Foreclosed Home Sales during the US Foreclosure Crisis: Evidence from Atlanta</t>
  </si>
  <si>
    <t xml:space="preserve">10.1080/02673037.2012.728576</t>
  </si>
  <si>
    <t xml:space="preserve">DO REAL ESTATE BROKERS ADD VALUE WHEN LISTING SERVICES ARE UNBUNDLED?</t>
  </si>
  <si>
    <t xml:space="preserve">Economic Inquiry</t>
  </si>
  <si>
    <t xml:space="preserve">10.1111/j.1465-7295.2012.00473.x</t>
  </si>
  <si>
    <t xml:space="preserve">How do market conditions impact price-TOM relationship? Evidence from real estate owned (REO) sales</t>
  </si>
  <si>
    <t xml:space="preserve">10.1016/j.jhe.2013.07.003</t>
  </si>
  <si>
    <t xml:space="preserve">Seller Over-Pricing and Listing Contract Length: The Effects of Endogenous Listing Contracts on Housing Markets</t>
  </si>
  <si>
    <t xml:space="preserve">10.1007/s11146-013-9440-1</t>
  </si>
  <si>
    <t xml:space="preserve">Optimal Selling Mechanism, Auction Discounts and Time on Market</t>
  </si>
  <si>
    <t xml:space="preserve">10.1111/reec.12002</t>
  </si>
  <si>
    <t xml:space="preserve">The Effect of Listing Price Strategy on Transaction Selling Prices</t>
  </si>
  <si>
    <t xml:space="preserve">10.1007/s11146-013-9424-1</t>
  </si>
  <si>
    <t xml:space="preserve">Implicit House Prices: Variation over Time and Space in Spain</t>
  </si>
  <si>
    <t xml:space="preserve">10.1177/0042098012471978</t>
  </si>
  <si>
    <t xml:space="preserve">The impact of house characteristics on the bargaining outcome</t>
  </si>
  <si>
    <t xml:space="preserve">10.1108/jerer-12-2012-0030</t>
  </si>
  <si>
    <t xml:space="preserve">Wealth effects on the housing markets: Do market liquidity and market states matter?</t>
  </si>
  <si>
    <t xml:space="preserve">10.1016/j.econmod.2013.02.021</t>
  </si>
  <si>
    <t xml:space="preserve">How Do Stamp Duties Affect the Housing Market?</t>
  </si>
  <si>
    <t xml:space="preserve">10.1111/1475-4932.12056</t>
  </si>
  <si>
    <t xml:space="preserve">Ease-of-Access, Home Prices, and Marketing Times: The Choice of Lockbox Type</t>
  </si>
  <si>
    <t xml:space="preserve">10.1080/10835547.2013.12092074</t>
  </si>
  <si>
    <t xml:space="preserve">Flooding and Liquidity on the Bayou: The Capitalization of Flood Risk into House Value and Ease-of-Sale</t>
  </si>
  <si>
    <t xml:space="preserve">10.1111/j.1540-6229.2012.00338.x</t>
  </si>
  <si>
    <t xml:space="preserve">The Effect of the BP Oil Spill on Volume and Selling Prices of Oceanfront Condominiums</t>
  </si>
  <si>
    <t xml:space="preserve">Land Economics</t>
  </si>
  <si>
    <t xml:space="preserve">10.3368/le.89.4.614</t>
  </si>
  <si>
    <t xml:space="preserve">Information Frictions and Housing Market Dynamics</t>
  </si>
  <si>
    <t xml:space="preserve">10.1111/iere.12210</t>
  </si>
  <si>
    <t xml:space="preserve">Search strategies on the housing market and their implications on price dispersion</t>
  </si>
  <si>
    <t xml:space="preserve">10.1016/j.jhe.2014.09.001</t>
  </si>
  <si>
    <t xml:space="preserve">Market Conditions, Marketing Time, and House Prices</t>
  </si>
  <si>
    <t xml:space="preserve">10.1080/10835547.2013.12092086</t>
  </si>
  <si>
    <t xml:space="preserve">The Impact of the Taxpayer Relief Act of 1997 on Housing Turnover in the U.S. Single‐Family Residential Market</t>
  </si>
  <si>
    <t xml:space="preserve">10.1111/1540-6229.12053</t>
  </si>
  <si>
    <t xml:space="preserve">Historic District Influence on House Prices and Marketing Duration</t>
  </si>
  <si>
    <t xml:space="preserve">10.1007/s11146-012-9380-1</t>
  </si>
  <si>
    <t xml:space="preserve">Residential Brokerage in Hot and Cold Markets</t>
  </si>
  <si>
    <t xml:space="preserve">10.1007/s11146-014-9472-1</t>
  </si>
  <si>
    <t xml:space="preserve">Hot and Cold Seasons in the Housing Market</t>
  </si>
  <si>
    <t xml:space="preserve">10.1257/aer.104.12.3991</t>
  </si>
  <si>
    <t xml:space="preserve">Estimating the Effect of Crime Risk on Property Values and Time on Market: Evidence from Megan’s Law in Virginia</t>
  </si>
  <si>
    <t xml:space="preserve">10.1111/1540-6229.12028</t>
  </si>
  <si>
    <t xml:space="preserve">Real Estate Agents, House Prices, and Liquidity</t>
  </si>
  <si>
    <t xml:space="preserve">10.1007/s11146-013-9452-x</t>
  </si>
  <si>
    <t xml:space="preserve">Time on the market and price change: the case of Sydney housing market</t>
  </si>
  <si>
    <t xml:space="preserve">10.1080/00036846.2014.972549</t>
  </si>
  <si>
    <t xml:space="preserve">Market response to land auction events: a transaction volume approach</t>
  </si>
  <si>
    <t xml:space="preserve">10.1108/ijhma-01-2014-0002</t>
  </si>
  <si>
    <t xml:space="preserve">Identifying key determinants of housing sales and time-on-the-market (TOM) using fuzzy cognitive mapping</t>
  </si>
  <si>
    <t xml:space="preserve">10.3846/1648715x.2015.1052587</t>
  </si>
  <si>
    <t xml:space="preserve">Determinants of Time on the Market in a Thin Real Estate Market</t>
  </si>
  <si>
    <t xml:space="preserve">The Engineering Economics</t>
  </si>
  <si>
    <t xml:space="preserve">10.5755/j01.ee.26.1.3905</t>
  </si>
  <si>
    <t xml:space="preserve">The Effect of Listing Price Strategy on Real Estate Negotiations: An Experimental Study</t>
  </si>
  <si>
    <t xml:space="preserve">Journal of Economic Psychology</t>
  </si>
  <si>
    <t xml:space="preserve">10.1016/j.joep.2015.11.001</t>
  </si>
  <si>
    <t xml:space="preserve">Listing behaviour in the Italian real estate market</t>
  </si>
  <si>
    <t xml:space="preserve">10.1108/ijhma-01-2014-0003</t>
  </si>
  <si>
    <t xml:space="preserve">Seller - Paid Concessions from 2004 to 2012: Implications for House Selling Price and Days on the Market</t>
  </si>
  <si>
    <t xml:space="preserve">10.1080/10835547.2015.12091428</t>
  </si>
  <si>
    <t xml:space="preserve">Effects of Real Estate Brokers' Marketing Strategies: Public Open Houses and MLS Virtual Tours</t>
  </si>
  <si>
    <t xml:space="preserve">10.1080/10835547.2015.12091422</t>
  </si>
  <si>
    <t xml:space="preserve">A study on the information effect of property market</t>
  </si>
  <si>
    <t xml:space="preserve">10.5762/kais.2015.16.11.7672</t>
  </si>
  <si>
    <t xml:space="preserve">Selling a house and the decision to use a real estate broker in Norway</t>
  </si>
  <si>
    <t xml:space="preserve">10.1108/pm-01-2014-0006</t>
  </si>
  <si>
    <t xml:space="preserve">What is the role of the asking price for a house?</t>
  </si>
  <si>
    <t xml:space="preserve">10.1016/j.jue.2016.03.008</t>
  </si>
  <si>
    <t xml:space="preserve">List Prices in the US Housing Market</t>
  </si>
  <si>
    <t xml:space="preserve">10.1007/s11146-016-9555-2</t>
  </si>
  <si>
    <t xml:space="preserve">Optimal List Price and Duration of Vacancy in the Housing Market in Tokyo</t>
  </si>
  <si>
    <t xml:space="preserve">Review of Urban &amp; Regional Development Studies</t>
  </si>
  <si>
    <t xml:space="preserve">10.1111/rurd.12053</t>
  </si>
  <si>
    <t xml:space="preserve">B/A</t>
  </si>
  <si>
    <t xml:space="preserve">Recommending property with short days-on-market for estate agency</t>
  </si>
  <si>
    <t xml:space="preserve">Journal of Ambient Intelligence and Humanized Computing</t>
  </si>
  <si>
    <t xml:space="preserve">10.1007/s12652-017-0508-2</t>
  </si>
  <si>
    <t xml:space="preserve">A Study on Effects of Characteristics of Real Estate Intermediation on Time to Sale of Houses</t>
  </si>
  <si>
    <r>
      <rPr>
        <sz val="10"/>
        <rFont val="WenQuanYi Zen Hei"/>
        <family val="2"/>
      </rPr>
      <t xml:space="preserve">부동산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도시연구 </t>
    </r>
    <r>
      <rPr>
        <sz val="10"/>
        <rFont val="Arial"/>
        <family val="0"/>
        <charset val="1"/>
      </rPr>
      <t xml:space="preserve">(Korea Real Estate Urban Studies)</t>
    </r>
  </si>
  <si>
    <t xml:space="preserve">10.22423/kreus.2017.10.1.189</t>
  </si>
  <si>
    <t xml:space="preserve">Does illiquidity matter in residential properties?</t>
  </si>
  <si>
    <t xml:space="preserve">10.1080/00036846.2016.1189506</t>
  </si>
  <si>
    <t xml:space="preserve">The Price Concessions of High- and Low-Priced Housing in a Period of Financial Crisis</t>
  </si>
  <si>
    <t xml:space="preserve">Quantitative Finance and Economics</t>
  </si>
  <si>
    <t xml:space="preserve">10.3934/qfe.2017.1.94</t>
  </si>
  <si>
    <t xml:space="preserve">Do hurricanes matter?</t>
  </si>
  <si>
    <t xml:space="preserve">10.1108/ijhma-06-2016-0045</t>
  </si>
  <si>
    <t xml:space="preserve">An analysis of auction strategies in apartment sales</t>
  </si>
  <si>
    <t xml:space="preserve">10.1108/jerer-12-2017-0043</t>
  </si>
  <si>
    <t xml:space="preserve">(What) do top performing real estate agents deliver for their clients?</t>
  </si>
  <si>
    <t xml:space="preserve">10.1016/j.jhe.2018.06.005</t>
  </si>
  <si>
    <t xml:space="preserve">Temporally Dynamic Externalities and Real Estate Liquidity</t>
  </si>
  <si>
    <t xml:space="preserve">10.1080/10835547.2018.12091498</t>
  </si>
  <si>
    <t xml:space="preserve">Institutional Investment, Asset Illiquidity and Post‐Crash Housing Market Dynamics</t>
  </si>
  <si>
    <t xml:space="preserve">10.1111/1540-6229.12231</t>
  </si>
  <si>
    <t xml:space="preserve">House Price Momentum and Strategic Complementarity</t>
  </si>
  <si>
    <t xml:space="preserve">Journal of Political Economy</t>
  </si>
  <si>
    <t xml:space="preserve">10.1086/697207</t>
  </si>
  <si>
    <t xml:space="preserve">Listing Agent Signals: Does a Picture Paint a Thousand Words?</t>
  </si>
  <si>
    <t xml:space="preserve">10.1007/s11146-018-9674-z</t>
  </si>
  <si>
    <t xml:space="preserve">Does Neighborhood Condition Create a Discount Effect on House List Prices? Evidence from Physical Disorder</t>
  </si>
  <si>
    <t xml:space="preserve">10.1080/10835547.2018.12091492</t>
  </si>
  <si>
    <t xml:space="preserve">Limited Service Brokerage: Positive Broker Intermediation?</t>
  </si>
  <si>
    <t xml:space="preserve">10.1080/10835547.2018.12091512</t>
  </si>
  <si>
    <t xml:space="preserve">Time on market (TOM): The impact of new residential stamp duty</t>
  </si>
  <si>
    <t xml:space="preserve">Physica A: Statistical Mechanics and its Applications</t>
  </si>
  <si>
    <t xml:space="preserve">10.1016/j.physa.2018.08.126</t>
  </si>
  <si>
    <t xml:space="preserve">The Effect of Interest Rates on Housing Market</t>
  </si>
  <si>
    <t xml:space="preserve">10.30902/jrea.2018.4.1.55</t>
  </si>
  <si>
    <t xml:space="preserve">The search and matching process in the housing market</t>
  </si>
  <si>
    <t xml:space="preserve">10.1108/jerer-02-2019-0003</t>
  </si>
  <si>
    <t xml:space="preserve">Improved information shock and price dispersion: A natural experiment in the housing market</t>
  </si>
  <si>
    <t xml:space="preserve">10.1016/j.jue.2019.05.008</t>
  </si>
  <si>
    <t xml:space="preserve">The Impact of TOM on Prices in the US Housing Market</t>
  </si>
  <si>
    <t xml:space="preserve">10.1007/s11146-018-9657-0</t>
  </si>
  <si>
    <t xml:space="preserve">Real estate list price anchoring and cognitive ability</t>
  </si>
  <si>
    <t xml:space="preserve">10.1108/ijhma-08-2018-0060</t>
  </si>
  <si>
    <t xml:space="preserve">Listing strategies and housing busts: Cutting loss or cutting list price?</t>
  </si>
  <si>
    <t xml:space="preserve">10.1016/j.jhe.2018.09.006</t>
  </si>
  <si>
    <t xml:space="preserve">Energy performance certification and time on the market</t>
  </si>
  <si>
    <t xml:space="preserve">Journal of Environmental Economics and Management</t>
  </si>
  <si>
    <t xml:space="preserve">10.1016/j.jeem.2019.102270</t>
  </si>
  <si>
    <t xml:space="preserve">Foreclosure Externalities and Home Liquidity</t>
  </si>
  <si>
    <t xml:space="preserve">10.1111/1540-6229.12301</t>
  </si>
  <si>
    <t xml:space="preserve">Korean Housing Market Dynamics: A VAR Analysis with Sign Restrictions</t>
  </si>
  <si>
    <t xml:space="preserve">10.30902/jrea.2019.5.1.1</t>
  </si>
  <si>
    <t xml:space="preserve">A Study on the Characteristics of Residential Preference Area according to Apartment Price and Trading Volume in Busan</t>
  </si>
  <si>
    <t xml:space="preserve">10.22313/reik.2019.17.1.187</t>
  </si>
  <si>
    <t xml:space="preserve">ENDOGENOUS SOURCES OF VOLATILITY IN HOUSING MARKETS: THE JOINT BUYER–SELLER PROBLEM</t>
  </si>
  <si>
    <t xml:space="preserve">10.1111/iere.12454</t>
  </si>
  <si>
    <t xml:space="preserve">Housing Turnover and Employment Change</t>
  </si>
  <si>
    <t xml:space="preserve">10.1080/10527001.2020.1846401</t>
  </si>
  <si>
    <t xml:space="preserve">Search Benefit in Housing Markets: An Inverted U-Shaped Price and TOM Relation</t>
  </si>
  <si>
    <t xml:space="preserve">10.1111/1540-6229.12221</t>
  </si>
  <si>
    <t xml:space="preserve">The Role of Listing Price Strategies on the Probability of Selling a House: Evidence from Vietnam</t>
  </si>
  <si>
    <t xml:space="preserve">10.1515/remav-2020-0016</t>
  </si>
  <si>
    <t xml:space="preserve">Do home sellers know their market? Evidence from neighbourhood sober-living houses</t>
  </si>
  <si>
    <t xml:space="preserve">Applied Economics Letters</t>
  </si>
  <si>
    <t xml:space="preserve">10.1080/13504851.2020.1782330</t>
  </si>
  <si>
    <t xml:space="preserve">Waiting after the storm: the effect of flooding on time on the housing market in coastal Virginia</t>
  </si>
  <si>
    <t xml:space="preserve">10.1080/13504851.2019.1616047</t>
  </si>
  <si>
    <t xml:space="preserve">Predicting Days on Market to Optimize Real Estate Sales Strategy</t>
  </si>
  <si>
    <t xml:space="preserve">Complex</t>
  </si>
  <si>
    <t xml:space="preserve">10.1155/2020/4603190</t>
  </si>
  <si>
    <t xml:space="preserve">The Omission of House Age in MLS Database Listings: The Effect on Selling Price and Time on Market</t>
  </si>
  <si>
    <t xml:space="preserve">10.1080/10527001.2020.1846355</t>
  </si>
  <si>
    <t xml:space="preserve">Restrictions versus amenities: the differential impact of home owners associations on property marketability</t>
  </si>
  <si>
    <t xml:space="preserve">10.1080/09599916.2020.1740765</t>
  </si>
  <si>
    <t xml:space="preserve">The Effect of Virtual Tours on House Price and Time on Market</t>
  </si>
  <si>
    <t xml:space="preserve">Journal of Real Estate Litterature</t>
  </si>
  <si>
    <t xml:space="preserve">10.1080/09277544.2021.1876433</t>
  </si>
  <si>
    <t xml:space="preserve">Brokers’ list price setting in an auction context</t>
  </si>
  <si>
    <t xml:space="preserve">10.1108/ijhma-04-2020-0034</t>
  </si>
  <si>
    <t xml:space="preserve">Information transparency and pricing strategy in the Scottish housing market</t>
  </si>
  <si>
    <t xml:space="preserve">10.1108/ijhma-11-2020-0140</t>
  </si>
  <si>
    <t xml:space="preserve">Market buoyancy, information transparency and pricing strategy in the Scottish housing market</t>
  </si>
  <si>
    <t xml:space="preserve">Urban studies</t>
  </si>
  <si>
    <t xml:space="preserve">10.1177/0042098021991784</t>
  </si>
  <si>
    <t xml:space="preserve">Is the behavior of sellers with expected gains and losses relevant to cycles in house prices?</t>
  </si>
  <si>
    <t xml:space="preserve">10.1016/j.jhe.2021.101750</t>
  </si>
  <si>
    <t xml:space="preserve">Absorption Rate as a Tool for Assessing the Dynamics of Development Activity</t>
  </si>
  <si>
    <t xml:space="preserve">Folia Oeconomica Stetinensia</t>
  </si>
  <si>
    <t xml:space="preserve">10.2478/foli-2021-0013</t>
  </si>
  <si>
    <t xml:space="preserve">The influence of design-related features on houses time-on-market: a statistical analysis</t>
  </si>
  <si>
    <t xml:space="preserve">10.1108/ijhma-05-2021-0062</t>
  </si>
  <si>
    <t xml:space="preserve">Selling Prices and Time on the Market of Houses Sold through Relocation Management Companies</t>
  </si>
  <si>
    <t xml:space="preserve">10.1080/10527001.2021.2003504</t>
  </si>
  <si>
    <t xml:space="preserve">Do As I Say and As I Do: Revisiting Price and Time-on-Market for Agent-Owned Properties</t>
  </si>
  <si>
    <t xml:space="preserve">10.1080/10527001.2021.1985361</t>
  </si>
  <si>
    <t xml:space="preserve">Sex and Selling: Agent Gender and Bargaining Power in the Resale Housing Market</t>
  </si>
  <si>
    <t xml:space="preserve">10.1007/s11146-020-09811-3</t>
  </si>
  <si>
    <t xml:space="preserve">Price and Liquidity Dynamics for Single and Multi-Family Homes during Housing Market Shocks</t>
  </si>
  <si>
    <t xml:space="preserve">10.1007/s11146-021-09846-0</t>
  </si>
  <si>
    <t xml:space="preserve">Days and Confused: Housing Price and Liquidity Response to New Local Public Schools</t>
  </si>
  <si>
    <t xml:space="preserve">10.1080/08965803.2021.1882789</t>
  </si>
  <si>
    <t xml:space="preserve">Neighborhood Institutions and Residential Home Sales: Evaluating the Impact of Property Tax Exemptions</t>
  </si>
  <si>
    <t xml:space="preserve">10.1007/s11146-020-09808-y</t>
  </si>
  <si>
    <t xml:space="preserve">Analysis of Factors Affecting Housing Sales in Turkey</t>
  </si>
  <si>
    <t xml:space="preserve">Journal of Yaşar University</t>
  </si>
  <si>
    <t xml:space="preserve">10.19168/jyasar.796275</t>
  </si>
  <si>
    <t xml:space="preserve">Does the Diversity of New Build Housing Type and Tenure Have a Positive Influence on Residential Absorption Rates? An Investigation of Housing Completion Rates in Leeds City Region</t>
  </si>
  <si>
    <t xml:space="preserve">Planning Practice and Research</t>
  </si>
  <si>
    <t xml:space="preserve">10.1080/02697459.2020.1859776</t>
  </si>
  <si>
    <t xml:space="preserve">The Effects of Seller s Credit Risk, Debt Condition, and Real Estate Asset on Apartment s Asking Price</t>
  </si>
  <si>
    <r>
      <rPr>
        <sz val="10"/>
        <rFont val="WenQuanYi Zen Hei"/>
        <family val="2"/>
      </rPr>
      <t xml:space="preserve">부동산학연구 </t>
    </r>
    <r>
      <rPr>
        <sz val="10"/>
        <rFont val="Arial"/>
        <family val="0"/>
        <charset val="1"/>
      </rPr>
      <t xml:space="preserve">(Korea Real Estate Review)</t>
    </r>
  </si>
  <si>
    <t xml:space="preserve">10.35136/krer.31.4.1</t>
  </si>
  <si>
    <t xml:space="preserve">Credit Policy and Housing Market Liquidity: An Empirical Study in Beijing Based on the TVP-VAR Model</t>
  </si>
  <si>
    <t xml:space="preserve">International Journal of Crowd Science</t>
  </si>
  <si>
    <t xml:space="preserve">10.26599/ijcs.2022.9100006</t>
  </si>
  <si>
    <t xml:space="preserve">The Behaviour of House Buyers in Response to Suspicious Signals of Houses for Sale</t>
  </si>
  <si>
    <t xml:space="preserve">Journal of Asian Business and Economic Studies</t>
  </si>
  <si>
    <t xml:space="preserve">10.24311/jabes/2022.33.07.05</t>
  </si>
  <si>
    <t xml:space="preserve">Identifying how the time on the market affects the selling price: a case study of residential properties in Paphos (Cyprus) urban area</t>
  </si>
  <si>
    <t xml:space="preserve">10.1108/jerer-11-2021-0051</t>
  </si>
  <si>
    <t xml:space="preserve">Buyer behaviour and price expectations: a spatial analysis of the Athens residential market</t>
  </si>
  <si>
    <t xml:space="preserve">10.1108/jerer-03-2020-0013</t>
  </si>
  <si>
    <t xml:space="preserve">Short-Term Property Rental Platforms and the Housing Market: House Prices and Liquidity</t>
  </si>
  <si>
    <t xml:space="preserve">10.1080/10527001.2022.2033389</t>
  </si>
  <si>
    <t xml:space="preserve">The Impact of Virtual Marketing Strategies on the Price-TOM Relation</t>
  </si>
  <si>
    <t xml:space="preserve">10.1007/s11146-022-09908-x</t>
  </si>
  <si>
    <t xml:space="preserve">The role of list price in transaction outcomes</t>
  </si>
  <si>
    <t xml:space="preserve">Nordic Journal of Surveying and Real Estate Research</t>
  </si>
  <si>
    <t xml:space="preserve">10.30672/njsr.102913</t>
  </si>
  <si>
    <t xml:space="preserve">Reference Dependence in the Housing Market</t>
  </si>
  <si>
    <t xml:space="preserve">10.1257/aer.20191766</t>
  </si>
  <si>
    <t xml:space="preserve">Analysis of the Relationship Between COVID-19 Infections and Web-Based Housing Searches</t>
  </si>
  <si>
    <t xml:space="preserve">10.2478/remav-2022-0031</t>
  </si>
  <si>
    <t xml:space="preserve">Experimental Research on the Impact of Interest Rate on Real Estate Market Transactions</t>
  </si>
  <si>
    <t xml:space="preserve">Discrete Dynamics in Nature and Society</t>
  </si>
  <si>
    <t xml:space="preserve">10.1155/2022/9946703</t>
  </si>
  <si>
    <t xml:space="preserve">Real estate agents' influence on housing search</t>
  </si>
  <si>
    <t xml:space="preserve">10.1002/jae.2891</t>
  </si>
  <si>
    <t xml:space="preserve">The effects of reference pricing on housing market: Evidence from Shenzhen China</t>
  </si>
  <si>
    <t xml:space="preserve">Panoeconomicus</t>
  </si>
  <si>
    <t xml:space="preserve">10.2298/pan220629015a</t>
  </si>
  <si>
    <t xml:space="preserve">Time is money: Water quality's impact on home liquidity and property values</t>
  </si>
  <si>
    <t xml:space="preserve">Ecological Economics</t>
  </si>
  <si>
    <t xml:space="preserve">10.1016/j.ecolecon.2022.107482</t>
  </si>
  <si>
    <t xml:space="preserve">The effect of virtual reality on the marketing of residential property</t>
  </si>
  <si>
    <t xml:space="preserve">10.1080/02673037.2022.2074971</t>
  </si>
  <si>
    <t xml:space="preserve">The Effects of Visual Technology on Price Discovery for Residential Listings and Transactions</t>
  </si>
  <si>
    <t xml:space="preserve">10.1108/ijhma-07-2022-0099</t>
  </si>
  <si>
    <t xml:space="preserve">Short-run effects of hurricanes on the housing markets: evidence from Florida</t>
  </si>
  <si>
    <t xml:space="preserve">10.1108/ijhma-02-2022-0024</t>
  </si>
  <si>
    <t xml:space="preserve">Effect of COVID-19 lockdowns on city-center and suburban housing markets: Evidence from Hangzhou, China</t>
  </si>
  <si>
    <t xml:space="preserve">Journal of Asian Economics</t>
  </si>
  <si>
    <t xml:space="preserve">10.1016/j.asieco.2022.101544</t>
  </si>
  <si>
    <t xml:space="preserve">A comparison of banks and real estate intermediaries as house sellers</t>
  </si>
  <si>
    <t xml:space="preserve">10.1007/s10901-022-09994-6</t>
  </si>
  <si>
    <t xml:space="preserve">The Odd One Out? The Impact of Property Uniqueness on Selling Time and Selling Price</t>
  </si>
  <si>
    <t xml:space="preserve">10.1080/10527001.2022.2078530</t>
  </si>
  <si>
    <t xml:space="preserve">Time on Market and the Cash Discount for Condos</t>
  </si>
  <si>
    <t xml:space="preserve">10.1007/s11146-022-09913-0</t>
  </si>
  <si>
    <t xml:space="preserve">Tracing the source of liquidity for distressed housing markets</t>
  </si>
  <si>
    <t xml:space="preserve">10.1111/1540-6229.12388</t>
  </si>
  <si>
    <t xml:space="preserve">Ethnicity in housing markets: Buyers, sellers and agents</t>
  </si>
  <si>
    <t xml:space="preserve">10.1111/1540-6229.12410</t>
  </si>
  <si>
    <t xml:space="preserve">The housing market reaction to the combustible cladding crisis: Safety or financial concerns?</t>
  </si>
  <si>
    <t xml:space="preserve">10.1177/00420980221110785</t>
  </si>
  <si>
    <t xml:space="preserve">The Propagation of Demand Shocks through Housing Markets</t>
  </si>
  <si>
    <t xml:space="preserve">American Economic Journal Macroeconomics</t>
  </si>
  <si>
    <t xml:space="preserve">10.1257/mac.20200037</t>
  </si>
  <si>
    <t xml:space="preserve">Changing trends in the transaction volume of existing houses during the COVID-19 pandemic</t>
  </si>
  <si>
    <t xml:space="preserve">Journal of the City Planning Institute of Japan</t>
  </si>
  <si>
    <t xml:space="preserve">10.11361/journalcpij.57.320</t>
  </si>
  <si>
    <t xml:space="preserve">An Empirical Study on the Nonlinear Price Increase Expectation Effect: Focusing on Apartment Transaction Price and Transaction Volume</t>
  </si>
  <si>
    <t xml:space="preserve">10.5762/kais.2022.23.1.374</t>
  </si>
  <si>
    <t xml:space="preserve">Do Sunk Costs Affect Prices in the Housing Market?</t>
  </si>
  <si>
    <t xml:space="preserve">Management Science</t>
  </si>
  <si>
    <t xml:space="preserve">10.1287/mnsc.2021.4285</t>
  </si>
  <si>
    <t xml:space="preserve">Impacts of Mortgage Loan Regulation for High-Price Housing on Changes in Its Price and Trading Volume</t>
  </si>
  <si>
    <t xml:space="preserve">국토계획</t>
  </si>
  <si>
    <t xml:space="preserve">10.17208/jkpa.2022.10.57.5.174</t>
  </si>
  <si>
    <t xml:space="preserve">Residential Marketing Duration: Film Studios as Neighborhood Sales Accelerators</t>
  </si>
  <si>
    <t xml:space="preserve">10.1080/08965803.2023.2214469</t>
  </si>
  <si>
    <t xml:space="preserve">Duration‐dependent transaction tax effects on sellers and their behaviors</t>
  </si>
  <si>
    <t xml:space="preserve">10.1111/1540-6229.12441</t>
  </si>
  <si>
    <t xml:space="preserve">Asymmetric information, signaling, and round listing prices: evidence from China's housing market</t>
  </si>
  <si>
    <t xml:space="preserve">10.1080/00036846.2023.2244252</t>
  </si>
  <si>
    <t xml:space="preserve">Does Property Return Affect Seller Behavior? An Empirical Study of China’s Real Estate Market</t>
  </si>
  <si>
    <t xml:space="preserve">Behavioral Sciences</t>
  </si>
  <si>
    <t xml:space="preserve">10.3390/bs13010055</t>
  </si>
  <si>
    <t xml:space="preserve">HOUSING MARKET DISCOUNT RATES: EVIDENCE FROM BARGAINING AND BIDDING WARS</t>
  </si>
  <si>
    <t xml:space="preserve">10.1111/iere.12679</t>
  </si>
  <si>
    <t xml:space="preserve">Sales prices, social rigidity and the second home property market</t>
  </si>
  <si>
    <t xml:space="preserve">10.1007/s10901-023-10047-9</t>
  </si>
  <si>
    <t xml:space="preserve">Efficiency of distressed property sales in Lagos city, Nigeria</t>
  </si>
  <si>
    <t xml:space="preserve">Lapai Journal of Economics</t>
  </si>
  <si>
    <t xml:space="preserve">10.4314/lje.v7i1.3</t>
  </si>
  <si>
    <t xml:space="preserve">The impact of real estate agents’ expertise on house prices and TOM</t>
  </si>
  <si>
    <t xml:space="preserve">10.1111/1540-6229.12466</t>
  </si>
  <si>
    <t xml:space="preserve">School quality as a catalyst for bidding wars and new housing development</t>
  </si>
  <si>
    <t xml:space="preserve">10.1111/1540-6229.12426</t>
  </si>
  <si>
    <t xml:space="preserve">The impact of the COVID-19 market shock on residential buyer preferences</t>
  </si>
  <si>
    <t xml:space="preserve">10.1108/ijhma-09-2024-0134</t>
  </si>
  <si>
    <t xml:space="preserve">Do energy performance certificates influence time on market? An exploratory research of the residential housing market in Flanders</t>
  </si>
  <si>
    <t xml:space="preserve">10.1108/ijhma-05-2024-0072</t>
  </si>
  <si>
    <t xml:space="preserve">Pricing strategies in the Silicon Valley housing market: an update on TOM and recent events</t>
  </si>
  <si>
    <t xml:space="preserve">10.1108/ijhma-07-2024-0092</t>
  </si>
  <si>
    <t xml:space="preserve">Seller and search behavior in the Belgian housing market</t>
  </si>
  <si>
    <t xml:space="preserve">10.1016/j.jhe.2024.101997</t>
  </si>
  <si>
    <t xml:space="preserve">Impact of Asking Price Signals on House Buyer Behavior: Evidence from Ho Chi Minh City</t>
  </si>
  <si>
    <t xml:space="preserve">Journal of Real Estate Literature</t>
  </si>
  <si>
    <t xml:space="preserve">10.1080/09277544.2024.2426336</t>
  </si>
  <si>
    <t xml:space="preserve">Does Bankruptcy Identify a Type Of Real Estate Agent or a Stress-Induced Change in Performance?</t>
  </si>
  <si>
    <t xml:space="preserve">10.1007/s11146-024-09984-1</t>
  </si>
  <si>
    <t xml:space="preserve">Volatility in Home Sales and Prices: Supply or Demand?</t>
  </si>
  <si>
    <t xml:space="preserve">10.1016/j.jue.2023.103610</t>
  </si>
  <si>
    <t xml:space="preserve">Improving search efficiency in housing markets using online listings</t>
  </si>
  <si>
    <t xml:space="preserve">10.1111/1540-6229.12482</t>
  </si>
  <si>
    <t xml:space="preserve">Does Virtual Reality Help Property Sales? Empirical Evidence from a Real Estate Platform</t>
  </si>
  <si>
    <t xml:space="preserve">Information systems research</t>
  </si>
  <si>
    <t xml:space="preserve">10.1287/isre.2021.9138</t>
  </si>
  <si>
    <t xml:space="preserve">The effect of the COVID-19 pandemic on TOM in the housing market</t>
  </si>
  <si>
    <t xml:space="preserve">10.1108/ijhma-12-2023-0179</t>
  </si>
  <si>
    <t xml:space="preserve">Spatial heterogeneity in housing price-transaction ratios: a historical analysis of Tehran</t>
  </si>
  <si>
    <t xml:space="preserve">10.1108/ijhma-08-2024-0118</t>
  </si>
  <si>
    <t xml:space="preserve">Study on the Determinants of Housing Sales Transaction Volume Considering Population Factors</t>
  </si>
  <si>
    <t xml:space="preserve">10.30902/jrea.2024.10.2.37</t>
  </si>
  <si>
    <t xml:space="preserve">Examining the policy outcomes of cancelling the house purchase restriction: quasi-experimental evidence from China</t>
  </si>
  <si>
    <t xml:space="preserve">Urban Governance</t>
  </si>
  <si>
    <t xml:space="preserve">10.1016/j.ugj.2024.04.001</t>
  </si>
  <si>
    <t xml:space="preserve">Impact of Corporate Transaction Volume Ratio on Apartment Prices</t>
  </si>
  <si>
    <t xml:space="preserve">10.35136/krer.34.2.2</t>
  </si>
  <si>
    <t xml:space="preserve">A Study on the Impact of Housing Consumer Sentiment and Demographic Changes on the Housing Sales Market</t>
  </si>
  <si>
    <t xml:space="preserve">10.31303/krear.2024.94.53</t>
  </si>
  <si>
    <t xml:space="preserve">Investors matter when prices are dispersed: the effects of investor activities on housing price dispersion</t>
  </si>
  <si>
    <t xml:space="preserve">Humanities and Social Sciences Communications</t>
  </si>
  <si>
    <t xml:space="preserve">10.1057/s41599-025-05260-6</t>
  </si>
  <si>
    <t xml:space="preserve">Strategic underpricing and time-on-market: evidence from South Australia’s housing market</t>
  </si>
  <si>
    <t xml:space="preserve">10.1108/ijhma-05-2025-0126</t>
  </si>
  <si>
    <t xml:space="preserve">Buyer behavior under ambiguous price signals: socioeconomic segmentation in a transitional housing market</t>
  </si>
  <si>
    <t xml:space="preserve">10.1108/ijhma-10-2025-0231</t>
  </si>
  <si>
    <t xml:space="preserve">Correlation Between Data Adjustment and Property Time on Market: Evidence from Jakarta Indonesia</t>
  </si>
  <si>
    <t xml:space="preserve">Jurnal Ilmu Manajemen &amp;amp; Ekonomika</t>
  </si>
  <si>
    <t xml:space="preserve">10.35384/jime.v18i1.850</t>
  </si>
  <si>
    <t xml:space="preserve">Do as essay, not as I do? How inflated list prices of unsold essayer homes affect the price discovery process</t>
  </si>
  <si>
    <t xml:space="preserve">10.1111/1540-6229.70024</t>
  </si>
  <si>
    <t xml:space="preserve">The Effect of Increased Police Spending on House Prices and Sales Volume: A Tale of Two Types of Cities</t>
  </si>
  <si>
    <t xml:space="preserve">10.1007/s11146-025-10012-z</t>
  </si>
  <si>
    <t xml:space="preserve">The geographical spillover effect of a house purchase deregulation policy: evidence from a quasi-experiment in China</t>
  </si>
  <si>
    <t xml:space="preserve">China Finance Review International</t>
  </si>
  <si>
    <t xml:space="preserve">10.1108/cfri-09-2024-0583</t>
  </si>
  <si>
    <t xml:space="preserve">An Empirical Study of the Impact of Market Sentiment on Housing Turnover</t>
  </si>
  <si>
    <t xml:space="preserve">E-Commerce Letters</t>
  </si>
  <si>
    <t xml:space="preserve">10.12677/ecl.2025.141419</t>
  </si>
  <si>
    <t xml:space="preserve">The Impact of Fiscal Policy on Real Estate Transaction Prices and Volumes – A Case Study of Taiwan's Municipalities</t>
  </si>
  <si>
    <t xml:space="preserve">International Journal of Arts Humanities &amp; Social Science</t>
  </si>
  <si>
    <t xml:space="preserve">10.56734/ijahss.v6n6a9</t>
  </si>
  <si>
    <t xml:space="preserve">Supply decision of existing apartment: Case study of apartment transactions in Gangdong district, Seoul, Korea</t>
  </si>
  <si>
    <t xml:space="preserve">10.3846/ijspm.2025.23317</t>
  </si>
  <si>
    <t xml:space="preserve">Impact of carbon prices on household behaviors in housing transactions</t>
  </si>
  <si>
    <t xml:space="preserve">International Review of Financial Analysis</t>
  </si>
  <si>
    <t xml:space="preserve">10.1016/j.irfa.2025.104222</t>
  </si>
  <si>
    <t xml:space="preserve">Do walkable neighborhoods reduce the time to sell foreclosed properties?</t>
  </si>
  <si>
    <t xml:space="preserve">Cities</t>
  </si>
  <si>
    <t xml:space="preserve">10.1016/j.cities.2025.105852</t>
  </si>
  <si>
    <t xml:space="preserve">Perception of risk and user cost in property markets: Evidence from Surfside partial building collapse</t>
  </si>
  <si>
    <t xml:space="preserve">10.1111/1540-6229.70025</t>
  </si>
  <si>
    <t xml:space="preserve">Online real estate agencies and their impact on the housing market</t>
  </si>
  <si>
    <t xml:space="preserve">10.1111/1540-6229.70023</t>
  </si>
  <si>
    <t xml:space="preserve">Information sharing across MLS platforms and housing prices: Evidence from a temporary suspension of an agreement</t>
  </si>
  <si>
    <t xml:space="preserve">10.1111/1540-6229.12524</t>
  </si>
  <si>
    <t xml:space="preserve">Selling price, time on the market, and contractual contingencies</t>
  </si>
  <si>
    <t xml:space="preserve">10.1016/j.jhe.2025.102062</t>
  </si>
  <si>
    <t xml:space="preserve">Fear of accidents in nuclear power plants, shocks to the housing market and effective policies to mitigate these: evidence from Sweden</t>
  </si>
  <si>
    <t xml:space="preserve">International Journal of Disaster Risk Reduction</t>
  </si>
  <si>
    <t xml:space="preserve">10.1016/j.ijdrr.2025.105797</t>
  </si>
  <si>
    <t xml:space="preserve">A Study on the Impact of Demographic Changes on Housing Transaction Volume : Focusing on the Application of the VECM</t>
  </si>
  <si>
    <t xml:space="preserve">Journal of the Korea Real Estate Management Review</t>
  </si>
  <si>
    <t xml:space="preserve">10.37642/jkremr.2025.12.15</t>
  </si>
  <si>
    <t xml:space="preserve">Price discounting and seller satisfaction in existing-home transactions: evidence from Japan</t>
  </si>
  <si>
    <t xml:space="preserve">10.1108/ijhma-01-2026-0019</t>
  </si>
  <si>
    <t xml:space="preserve">Heterogeneous buyers and relative negotiation advantage: how ambiguous price signals reshape transaction outcomes in opaque markets</t>
  </si>
  <si>
    <t xml:space="preserve">10.1108/ijhma-01-2026-0009</t>
  </si>
  <si>
    <t xml:space="preserve">Market effects of government reference price for resale housing transactions</t>
  </si>
  <si>
    <t xml:space="preserve">10.3846/ijspm.2026.25135</t>
  </si>
  <si>
    <t xml:space="preserve">When Discounts Fail to Clear: Price–Liquidity Divergence and Selective Shadow Costs in an Opaque Housing Market</t>
  </si>
  <si>
    <t xml:space="preserve">10.1080/09277544.2026.2740376</t>
  </si>
  <si>
    <t xml:space="preserve">Digital and Strategic Approaches in Real Estate Marketing in Turkey: An Analysis of Time on Market Based on the Case of Bolu Province</t>
  </si>
  <si>
    <t xml:space="preserve">10.1080/09277544.2026.2657471</t>
  </si>
  <si>
    <t xml:space="preserve">Observational Learning and Information Disclosure in Search Markets</t>
  </si>
  <si>
    <t xml:space="preserve">Social Science Research Network</t>
  </si>
  <si>
    <t xml:space="preserve">10.1287/mnsc.2023.00917</t>
  </si>
  <si>
    <t xml:space="preserve">Why Is Intermediating Houses So Difficult? Evidence from iBuyers</t>
  </si>
  <si>
    <t xml:space="preserve">10.1086/742710</t>
  </si>
  <si>
    <t xml:space="preserve">Capitalizing consumer school ratings into residential listing prices: evidence from Greater Houston</t>
  </si>
  <si>
    <t xml:space="preserve">10.1108/ijhma-07-2026-0273</t>
  </si>
  <si>
    <t xml:space="preserve">The unintended consequences of credit-easing policies: evidence from the housing market</t>
  </si>
  <si>
    <t xml:space="preserve">10.1080/00036846.2026.2625433</t>
  </si>
  <si>
    <t xml:space="preserve">Transaction Sequencing and House Price Pressures</t>
  </si>
  <si>
    <t xml:space="preserve">10.1287/mnsc.2024.08149</t>
  </si>
  <si>
    <t xml:space="preserve">Cooling Auction Fever: Evidence from the Housing Market</t>
  </si>
  <si>
    <t xml:space="preserve">Review of Financial Studies</t>
  </si>
  <si>
    <t xml:space="preserve">10.1093/rfs/hhaf101</t>
  </si>
  <si>
    <t xml:space="preserve">Urban disruptions and housing market dynamics: evidence from San Francisco</t>
  </si>
  <si>
    <t xml:space="preserve">10.1108/ijhma-04-2026-0122</t>
  </si>
  <si>
    <t xml:space="preserve">From tariffs to roofs: the spillover effects of trade policy on housing markets</t>
  </si>
  <si>
    <t xml:space="preserve">10.1108/ijhma-01-2026-0014</t>
  </si>
  <si>
    <t xml:space="preserve">Economic shocks and housing market dynamics: evidence from Shelby County, Tennessee</t>
  </si>
  <si>
    <t xml:space="preserve">10.1108/ijhma-04-2026-0100</t>
  </si>
  <si>
    <t xml:space="preserve">Does AI-generated listing language affect property market outcomes for investors?</t>
  </si>
  <si>
    <t xml:space="preserve">Journal of Property Investment &amp;amp; Finance</t>
  </si>
  <si>
    <t xml:space="preserve">10.1108/jpif-01-2026-0008</t>
  </si>
  <si>
    <t xml:space="preserve">Real estate agents’ collaboration and housing outcomes</t>
  </si>
  <si>
    <t xml:space="preserve">10.1111/1540-6229.70065</t>
  </si>
  <si>
    <t xml:space="preserve">Flood risk information, housing markets, and spatial inequality</t>
  </si>
  <si>
    <t xml:space="preserve">Journal of Economic Geography</t>
  </si>
  <si>
    <t xml:space="preserve">10.1093/jeg/lbag064</t>
  </si>
  <si>
    <t xml:space="preserve">Heterogeneity in Housing Market Adjustment Structures across Regions</t>
  </si>
  <si>
    <t xml:space="preserve">10.30902/jrea.2026.12.1.105</t>
  </si>
  <si>
    <t xml:space="preserve">Price-Tier Adjustment and Spatial Concentration in Seoul’s Apartment Market During a Period of Interest Rate Changes</t>
  </si>
  <si>
    <t xml:space="preserve">10.30902/jrea.2026.12.1.149</t>
  </si>
  <si>
    <t xml:space="preserve">An Analysis of the Spatial Spillover Effects of Lifting Land Transaction Permit Zone Designation Using Distance-Band Spatial Difference-in-Differences (DID)</t>
  </si>
  <si>
    <t xml:space="preserve">10.30902/jrea.2026.12.2.27</t>
  </si>
  <si>
    <t xml:space="preserve">How Does Short-term Volatility in Housing Policy Affect House Prices and Transaction Volume : Evidence from the Lifting and Reimposition of the Land Transaction Permit System in Seoul, South Korea</t>
  </si>
  <si>
    <t xml:space="preserve">Korea Real Estate Policy Association</t>
  </si>
  <si>
    <t xml:space="preserve">10.54091/krepa.2026.27.2.24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</si>
</sst>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</font>
    <font>
      <b val="true"/>
      <sz val="14"/>
      <name val="Arial"/>
      <family val="0"/>
      <charset val="1"/>
    </font>
    <font>
      <sz val="10"/>
      <name val="WenQuanYi Zen Hei"/>
      <family val="2"/>
    </font>
    <font>
      <sz val="10"/>
      <name val="Arial"/>
      <family val="0"/>
      <charset val="1"/>
    </font>
    <font>
      <b val="true"/>
      <sz val="10"/>
      <name val="WenQuanYi Zen Hei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WenQuanYi Zen Hei"/>
      <family val="2"/>
    </font>
    <font>
      <u val="single"/>
      <sz val="10"/>
      <color rgb="FF1F4FD1"/>
      <name val="Arial"/>
      <family val="0"/>
      <charset val="1"/>
    </font>
    <font>
      <sz val="10"/>
      <name val="Arial"/>
      <family val="2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EEF1F5"/>
        <bgColor rgb="FFFFFFFF"/>
      </patternFill>
    </fill>
    <fill>
      <patternFill patternType="solid">
        <fgColor rgb="FFFFF2CC"/>
        <bgColor rgb="FFEEF1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F4FD1"/>
          <bgColor rgb="FF000000"/>
        </patternFill>
      </fill>
    </dxf>
    <dxf>
      <fill>
        <patternFill patternType="solid">
          <fgColor rgb="FFEEF1F5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EF1F5"/>
      <rgbColor rgb="FF660066"/>
      <rgbColor rgb="FFFF8080"/>
      <rgbColor rgb="FF1F4FD1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doi.org/10.38100/jhuf.2021.6.2.53" TargetMode="External"/><Relationship Id="rId2" Type="http://schemas.openxmlformats.org/officeDocument/2006/relationships/hyperlink" Target="https://doi.org/10.24957/hsr.2019.27.1.05" TargetMode="External"/><Relationship Id="rId3" Type="http://schemas.openxmlformats.org/officeDocument/2006/relationships/hyperlink" Target="https://doi.org/10.14801/jkiit.2023.21.10.37" TargetMode="External"/><Relationship Id="rId4" Type="http://schemas.openxmlformats.org/officeDocument/2006/relationships/hyperlink" Target="https://doi.org/10.1080/12265934.2016.1239548" TargetMode="External"/><Relationship Id="rId5" Type="http://schemas.openxmlformats.org/officeDocument/2006/relationships/hyperlink" Target="https://doi.org/10.24957/hsr.2017.25.3.01" TargetMode="External"/><Relationship Id="rId6" Type="http://schemas.openxmlformats.org/officeDocument/2006/relationships/hyperlink" Target="https://doi.org/10.22313/reik.2018.16.2.411" TargetMode="External"/><Relationship Id="rId7" Type="http://schemas.openxmlformats.org/officeDocument/2006/relationships/hyperlink" Target="https://doi.org/10.22313/reik.2019.17.4.31" TargetMode="External"/><Relationship Id="rId8" Type="http://schemas.openxmlformats.org/officeDocument/2006/relationships/hyperlink" Target="https://doi.org/10.32989/rel.2020.24.2.53" TargetMode="External"/><Relationship Id="rId9" Type="http://schemas.openxmlformats.org/officeDocument/2006/relationships/hyperlink" Target="https://doi.org/10.22143/hss21.14.2.27" TargetMode="External"/><Relationship Id="rId10" Type="http://schemas.openxmlformats.org/officeDocument/2006/relationships/hyperlink" Target="https://doi.org/10.5626/ktcp.2026.32.3.89" TargetMode="External"/><Relationship Id="rId11" Type="http://schemas.openxmlformats.org/officeDocument/2006/relationships/hyperlink" Target="https://doi.org/10.21447/jup.2019.10.3.101" TargetMode="External"/><Relationship Id="rId12" Type="http://schemas.openxmlformats.org/officeDocument/2006/relationships/hyperlink" Target="https://doi.org/10.24957/hsr.2026.34.2.101" TargetMode="External"/><Relationship Id="rId13" Type="http://schemas.openxmlformats.org/officeDocument/2006/relationships/hyperlink" Target="https://doi.org/10.24957/hsr.2026.34.3.267" TargetMode="External"/><Relationship Id="rId14" Type="http://schemas.openxmlformats.org/officeDocument/2006/relationships/hyperlink" Target="https://doi.org/10.15793/kspr.2009.62..006" TargetMode="External"/><Relationship Id="rId15" Type="http://schemas.openxmlformats.org/officeDocument/2006/relationships/hyperlink" Target="https://doi.org/10.15793/kspr.2011.69..001" TargetMode="External"/><Relationship Id="rId16" Type="http://schemas.openxmlformats.org/officeDocument/2006/relationships/hyperlink" Target="https://doi.org/10.18032/kaaba.2017.30.11.1935" TargetMode="External"/><Relationship Id="rId17" Type="http://schemas.openxmlformats.org/officeDocument/2006/relationships/hyperlink" Target="https://doi.org/10.26700/shuri.2018.12.8.3.51" TargetMode="External"/><Relationship Id="rId18" Type="http://schemas.openxmlformats.org/officeDocument/2006/relationships/hyperlink" Target="https://doi.org/10.30902/jrea.2018.4.1.85" TargetMode="External"/><Relationship Id="rId19" Type="http://schemas.openxmlformats.org/officeDocument/2006/relationships/hyperlink" Target="https://doi.org/10.15793/kspr.2018.97..001" TargetMode="External"/><Relationship Id="rId20" Type="http://schemas.openxmlformats.org/officeDocument/2006/relationships/hyperlink" Target="https://doi.org/10.37103/kapp.21.3.2" TargetMode="External"/><Relationship Id="rId21" Type="http://schemas.openxmlformats.org/officeDocument/2006/relationships/hyperlink" Target="https://doi.org/10.22313/reik.2020.18.1.21" TargetMode="External"/><Relationship Id="rId22" Type="http://schemas.openxmlformats.org/officeDocument/2006/relationships/hyperlink" Target="https://doi.org/10.31303/krear.2020.83.53" TargetMode="External"/><Relationship Id="rId23" Type="http://schemas.openxmlformats.org/officeDocument/2006/relationships/hyperlink" Target="https://doi.org/10.19172/kreaa.26.3.8" TargetMode="External"/><Relationship Id="rId24" Type="http://schemas.openxmlformats.org/officeDocument/2006/relationships/hyperlink" Target="https://doi.org/10.5762/kais.2022.23.3.273" TargetMode="External"/><Relationship Id="rId25" Type="http://schemas.openxmlformats.org/officeDocument/2006/relationships/hyperlink" Target="https://doi.org/10.37407/kres.2024.42.1.211" TargetMode="External"/><Relationship Id="rId26" Type="http://schemas.openxmlformats.org/officeDocument/2006/relationships/hyperlink" Target="https://doi.org/10.5392/jkca.2024.24.01.621" TargetMode="External"/><Relationship Id="rId27" Type="http://schemas.openxmlformats.org/officeDocument/2006/relationships/hyperlink" Target="https://doi.org/10.1111/1540-6229.00463" TargetMode="External"/><Relationship Id="rId28" Type="http://schemas.openxmlformats.org/officeDocument/2006/relationships/hyperlink" Target="https://doi.org/10.1111/1540-6229.00514" TargetMode="External"/><Relationship Id="rId29" Type="http://schemas.openxmlformats.org/officeDocument/2006/relationships/hyperlink" Target="https://doi.org/10.1080/10835547.2010.12091669" TargetMode="External"/><Relationship Id="rId30" Type="http://schemas.openxmlformats.org/officeDocument/2006/relationships/hyperlink" Target="https://doi.org/10.1080/14445921.2012.11104370" TargetMode="External"/><Relationship Id="rId31" Type="http://schemas.openxmlformats.org/officeDocument/2006/relationships/hyperlink" Target="https://doi.org/10.1057/jors.2011.74" TargetMode="External"/><Relationship Id="rId32" Type="http://schemas.openxmlformats.org/officeDocument/2006/relationships/hyperlink" Target="https://doi.org/10.37407/kres.2026.44.3.315" TargetMode="External"/><Relationship Id="rId33" Type="http://schemas.openxmlformats.org/officeDocument/2006/relationships/hyperlink" Target="https://doi.org/10.52344/hfr.2026.10.1.133" TargetMode="External"/><Relationship Id="rId34" Type="http://schemas.openxmlformats.org/officeDocument/2006/relationships/hyperlink" Target="https://doi.org/10.1080/10835547.1994.12090750" TargetMode="External"/><Relationship Id="rId35" Type="http://schemas.openxmlformats.org/officeDocument/2006/relationships/hyperlink" Target="https://doi.org/10.1068/a35170" TargetMode="External"/><Relationship Id="rId36" Type="http://schemas.openxmlformats.org/officeDocument/2006/relationships/hyperlink" Target="https://doi.org/10.1111/j.1540-6229.2006.00171.x" TargetMode="External"/><Relationship Id="rId37" Type="http://schemas.openxmlformats.org/officeDocument/2006/relationships/hyperlink" Target="https://doi.org/10.1080/10835547.2007.12091978" TargetMode="External"/><Relationship Id="rId38" Type="http://schemas.openxmlformats.org/officeDocument/2006/relationships/hyperlink" Target="https://doi.org/10.1016/j.knosys.2020.106417" TargetMode="External"/><Relationship Id="rId39" Type="http://schemas.openxmlformats.org/officeDocument/2006/relationships/hyperlink" Target="https://doi.org/10.1108/ijhma-06-2020-0071" TargetMode="External"/><Relationship Id="rId40" Type="http://schemas.openxmlformats.org/officeDocument/2006/relationships/hyperlink" Target="https://doi.org/10.36108/ujees/2202.40.0210" TargetMode="External"/><Relationship Id="rId41" Type="http://schemas.openxmlformats.org/officeDocument/2006/relationships/hyperlink" Target="https://doi.org/10.1016/j.jue.2019.04.005" TargetMode="External"/><Relationship Id="rId42" Type="http://schemas.openxmlformats.org/officeDocument/2006/relationships/hyperlink" Target="https://doi.org/10.1080/10835547.2009.12092005" TargetMode="External"/><Relationship Id="rId43" Type="http://schemas.openxmlformats.org/officeDocument/2006/relationships/hyperlink" Target="https://doi.org/10.1016/j.regsciurbeco.2011.08.010" TargetMode="External"/><Relationship Id="rId44" Type="http://schemas.openxmlformats.org/officeDocument/2006/relationships/hyperlink" Target="https://doi.org/10.1111/1756-2171.12022" TargetMode="External"/><Relationship Id="rId45" Type="http://schemas.openxmlformats.org/officeDocument/2006/relationships/hyperlink" Target="https://doi.org/10.1177/0042098014529341" TargetMode="External"/><Relationship Id="rId46" Type="http://schemas.openxmlformats.org/officeDocument/2006/relationships/hyperlink" Target="https://doi.org/10.1007/s11146-013-9450-z" TargetMode="External"/><Relationship Id="rId47" Type="http://schemas.openxmlformats.org/officeDocument/2006/relationships/hyperlink" Target="https://doi.org/10.3846/1648715x.2015.1072746" TargetMode="External"/><Relationship Id="rId48" Type="http://schemas.openxmlformats.org/officeDocument/2006/relationships/hyperlink" Target="https://doi.org/10.1007/s11146-015-9503-6" TargetMode="External"/><Relationship Id="rId49" Type="http://schemas.openxmlformats.org/officeDocument/2006/relationships/hyperlink" Target="https://doi.org/10.1111/1540-6229.12121" TargetMode="External"/><Relationship Id="rId50" Type="http://schemas.openxmlformats.org/officeDocument/2006/relationships/hyperlink" Target="https://doi.org/10.53383/100144" TargetMode="External"/><Relationship Id="rId51" Type="http://schemas.openxmlformats.org/officeDocument/2006/relationships/hyperlink" Target="https://doi.org/10.1177/0042098015596923" TargetMode="External"/><Relationship Id="rId52" Type="http://schemas.openxmlformats.org/officeDocument/2006/relationships/hyperlink" Target="https://doi.org/10.1080/08965803.2020.1844476" TargetMode="External"/><Relationship Id="rId53" Type="http://schemas.openxmlformats.org/officeDocument/2006/relationships/hyperlink" Target="https://doi.org/10.1515/jem-2020-0017" TargetMode="External"/><Relationship Id="rId54" Type="http://schemas.openxmlformats.org/officeDocument/2006/relationships/hyperlink" Target="https://doi.org/10.5198/jtlu.2024.2447" TargetMode="External"/><Relationship Id="rId55" Type="http://schemas.openxmlformats.org/officeDocument/2006/relationships/hyperlink" Target="https://doi.org/10.1061/jupddm.upeng-5857" TargetMode="External"/><Relationship Id="rId56" Type="http://schemas.openxmlformats.org/officeDocument/2006/relationships/hyperlink" Target="https://doi.org/10.1111/1540-6229.00038" TargetMode="External"/><Relationship Id="rId57" Type="http://schemas.openxmlformats.org/officeDocument/2006/relationships/hyperlink" Target="https://doi.org/10.1016/j.regsciurbeco.2013.03.001" TargetMode="External"/><Relationship Id="rId58" Type="http://schemas.openxmlformats.org/officeDocument/2006/relationships/hyperlink" Target="https://doi.org/10.1016/j.jhe.2018.09.009" TargetMode="External"/><Relationship Id="rId59" Type="http://schemas.openxmlformats.org/officeDocument/2006/relationships/hyperlink" Target="https://doi.org/10.1111/boer.12284" TargetMode="External"/><Relationship Id="rId60" Type="http://schemas.openxmlformats.org/officeDocument/2006/relationships/hyperlink" Target="https://doi.org/10.3846/ijspm.2025.23319" TargetMode="External"/><Relationship Id="rId61" Type="http://schemas.openxmlformats.org/officeDocument/2006/relationships/hyperlink" Target="https://doi.org/10.1108/jerer-12-2025-0098" TargetMode="External"/><Relationship Id="rId62" Type="http://schemas.openxmlformats.org/officeDocument/2006/relationships/hyperlink" Target="https://doi.org/10.1108/17539260910978481" TargetMode="External"/><Relationship Id="rId63" Type="http://schemas.openxmlformats.org/officeDocument/2006/relationships/hyperlink" Target="https://doi.org/10.1108/17538271311306048" TargetMode="External"/><Relationship Id="rId64" Type="http://schemas.openxmlformats.org/officeDocument/2006/relationships/hyperlink" Target="https://doi.org/10.1007/s11146-016-9558-z" TargetMode="External"/><Relationship Id="rId65" Type="http://schemas.openxmlformats.org/officeDocument/2006/relationships/hyperlink" Target="https://doi.org/10.1111/jfir.12308" TargetMode="External"/><Relationship Id="rId66" Type="http://schemas.openxmlformats.org/officeDocument/2006/relationships/hyperlink" Target="https://doi.org/10.1177/0042098010363496" TargetMode="External"/><Relationship Id="rId67" Type="http://schemas.openxmlformats.org/officeDocument/2006/relationships/hyperlink" Target="https://doi.org/10.1515/remav-2015-0021" TargetMode="External"/><Relationship Id="rId68" Type="http://schemas.openxmlformats.org/officeDocument/2006/relationships/hyperlink" Target="https://doi.org/10.1111/1475-4932.12242" TargetMode="External"/><Relationship Id="rId69" Type="http://schemas.openxmlformats.org/officeDocument/2006/relationships/hyperlink" Target="https://doi.org/10.1162/rest_a_00634" TargetMode="External"/><Relationship Id="rId70" Type="http://schemas.openxmlformats.org/officeDocument/2006/relationships/hyperlink" Target="https://doi.org/10.1016/j.jhe.2020.101715" TargetMode="External"/><Relationship Id="rId71" Type="http://schemas.openxmlformats.org/officeDocument/2006/relationships/hyperlink" Target="https://doi.org/10.2478/jos-2022-0017" TargetMode="External"/><Relationship Id="rId72" Type="http://schemas.openxmlformats.org/officeDocument/2006/relationships/hyperlink" Target="https://doi.org/10.1016/j.jhe.2022.101906" TargetMode="External"/><Relationship Id="rId73" Type="http://schemas.openxmlformats.org/officeDocument/2006/relationships/hyperlink" Target="https://doi.org/10.1007/s11146-020-09815-z" TargetMode="External"/><Relationship Id="rId74" Type="http://schemas.openxmlformats.org/officeDocument/2006/relationships/hyperlink" Target="https://doi.org/10.1111/1540-6229.00410" TargetMode="External"/><Relationship Id="rId75" Type="http://schemas.openxmlformats.org/officeDocument/2006/relationships/hyperlink" Target="https://doi.org/10.1016/j.jue.2004.05.004" TargetMode="External"/><Relationship Id="rId76" Type="http://schemas.openxmlformats.org/officeDocument/2006/relationships/hyperlink" Target="https://doi.org/10.1016/j.frl.2018.10.004" TargetMode="External"/><Relationship Id="rId77" Type="http://schemas.openxmlformats.org/officeDocument/2006/relationships/hyperlink" Target="https://doi.org/10.1111/1540-6229.70013" TargetMode="External"/><Relationship Id="rId78" Type="http://schemas.openxmlformats.org/officeDocument/2006/relationships/hyperlink" Target="https://doi.org/10.1111/j.1080-8620.2004.00106.x" TargetMode="External"/><Relationship Id="rId79" Type="http://schemas.openxmlformats.org/officeDocument/2006/relationships/hyperlink" Target="https://doi.org/10.1007/s10901-005-6762-1" TargetMode="External"/><Relationship Id="rId80" Type="http://schemas.openxmlformats.org/officeDocument/2006/relationships/hyperlink" Target="https://doi.org/10.1111/reec.12003" TargetMode="External"/><Relationship Id="rId81" Type="http://schemas.openxmlformats.org/officeDocument/2006/relationships/hyperlink" Target="https://doi.org/10.1080/1331677x.2018.1429289" TargetMode="External"/><Relationship Id="rId82" Type="http://schemas.openxmlformats.org/officeDocument/2006/relationships/hyperlink" Target="https://doi.org/10.1080/10527001.2020.1776513" TargetMode="External"/><Relationship Id="rId83" Type="http://schemas.openxmlformats.org/officeDocument/2006/relationships/hyperlink" Target="https://doi.org/10.1080/10835547.2012.12092059" TargetMode="External"/><Relationship Id="rId84" Type="http://schemas.openxmlformats.org/officeDocument/2006/relationships/hyperlink" Target="https://doi.org/10.1111/1540-6229.12082" TargetMode="External"/><Relationship Id="rId85" Type="http://schemas.openxmlformats.org/officeDocument/2006/relationships/hyperlink" Target="https://doi.org/10.1080/00036846.2015.1023943" TargetMode="External"/><Relationship Id="rId86" Type="http://schemas.openxmlformats.org/officeDocument/2006/relationships/hyperlink" Target="https://doi.org/10.1016/j.landusepol.2016.05.008" TargetMode="External"/><Relationship Id="rId87" Type="http://schemas.openxmlformats.org/officeDocument/2006/relationships/hyperlink" Target="https://doi.org/10.1108/ijhma-02-2020-0017" TargetMode="External"/><Relationship Id="rId88" Type="http://schemas.openxmlformats.org/officeDocument/2006/relationships/hyperlink" Target="https://doi.org/10.1007/s11573-020-00990-2" TargetMode="External"/><Relationship Id="rId89" Type="http://schemas.openxmlformats.org/officeDocument/2006/relationships/hyperlink" Target="https://doi.org/10.1016/j.regsciurbeco.2024.103997" TargetMode="External"/><Relationship Id="rId90" Type="http://schemas.openxmlformats.org/officeDocument/2006/relationships/hyperlink" Target="https://doi.org/10.1111/reec.12015" TargetMode="External"/><Relationship Id="rId91" Type="http://schemas.openxmlformats.org/officeDocument/2006/relationships/hyperlink" Target="https://doi.org/10.1007/s11146-019-09714-y" TargetMode="External"/><Relationship Id="rId92" Type="http://schemas.openxmlformats.org/officeDocument/2006/relationships/hyperlink" Target="https://doi.org/10.3390/buildings14051471" TargetMode="External"/><Relationship Id="rId93" Type="http://schemas.openxmlformats.org/officeDocument/2006/relationships/hyperlink" Target="https://doi.org/10.1007/s10660-026-10107-6" TargetMode="External"/><Relationship Id="rId94" Type="http://schemas.openxmlformats.org/officeDocument/2006/relationships/hyperlink" Target="https://doi.org/10.1006/jhec.1995.1005" TargetMode="External"/><Relationship Id="rId95" Type="http://schemas.openxmlformats.org/officeDocument/2006/relationships/hyperlink" Target="https://doi.org/10.1007/bf01099111" TargetMode="External"/><Relationship Id="rId96" Type="http://schemas.openxmlformats.org/officeDocument/2006/relationships/hyperlink" Target="https://doi.org/10.1111/infi.12408" TargetMode="External"/><Relationship Id="rId97" Type="http://schemas.openxmlformats.org/officeDocument/2006/relationships/hyperlink" Target="https://doi.org/10.1007/s11146-026-10080-9" TargetMode="External"/><Relationship Id="rId98" Type="http://schemas.openxmlformats.org/officeDocument/2006/relationships/hyperlink" Target="https://doi.org/10.1162/003465306775565783" TargetMode="External"/><Relationship Id="rId99" Type="http://schemas.openxmlformats.org/officeDocument/2006/relationships/hyperlink" Target="https://doi.org/10.1016/j.regsciurbeco.2016.04.001" TargetMode="External"/><Relationship Id="rId100" Type="http://schemas.openxmlformats.org/officeDocument/2006/relationships/hyperlink" Target="https://doi.org/10.48264/vvsiev-20223102" TargetMode="External"/><Relationship Id="rId101" Type="http://schemas.openxmlformats.org/officeDocument/2006/relationships/hyperlink" Target="https://doi.org/10.1007/bf00217392" TargetMode="External"/><Relationship Id="rId102" Type="http://schemas.openxmlformats.org/officeDocument/2006/relationships/hyperlink" Target="https://doi.org/10.1023/a:1007718725609" TargetMode="External"/><Relationship Id="rId103" Type="http://schemas.openxmlformats.org/officeDocument/2006/relationships/hyperlink" Target="https://doi.org/10.1080/10835547.2002.12091081" TargetMode="External"/><Relationship Id="rId104" Type="http://schemas.openxmlformats.org/officeDocument/2006/relationships/hyperlink" Target="https://doi.org/10.1080/09599910802696615" TargetMode="External"/><Relationship Id="rId105" Type="http://schemas.openxmlformats.org/officeDocument/2006/relationships/hyperlink" Target="https://doi.org/10.1111/1540-6229.12269" TargetMode="External"/><Relationship Id="rId106" Type="http://schemas.openxmlformats.org/officeDocument/2006/relationships/hyperlink" Target="https://doi.org/10.1108/17538271011049731" TargetMode="External"/><Relationship Id="rId107" Type="http://schemas.openxmlformats.org/officeDocument/2006/relationships/hyperlink" Target="https://doi.org/10.1016/j.jhe.2013.01.003" TargetMode="External"/><Relationship Id="rId108" Type="http://schemas.openxmlformats.org/officeDocument/2006/relationships/hyperlink" Target="https://doi.org/10.1007/s11146-008-9161-z" TargetMode="External"/><Relationship Id="rId109" Type="http://schemas.openxmlformats.org/officeDocument/2006/relationships/hyperlink" Target="https://doi.org/10.1007/s11146-009-9207-x" TargetMode="External"/><Relationship Id="rId110" Type="http://schemas.openxmlformats.org/officeDocument/2006/relationships/hyperlink" Target="https://doi.org/10.1080/10835547.2010.12092026" TargetMode="External"/><Relationship Id="rId111" Type="http://schemas.openxmlformats.org/officeDocument/2006/relationships/hyperlink" Target="https://doi.org/10.1111/j.1540-6229.2010.00292.x" TargetMode="External"/><Relationship Id="rId112" Type="http://schemas.openxmlformats.org/officeDocument/2006/relationships/hyperlink" Target="https://doi.org/10.1007/s11146-012-9375-y" TargetMode="External"/><Relationship Id="rId113" Type="http://schemas.openxmlformats.org/officeDocument/2006/relationships/hyperlink" Target="https://doi.org/10.1016/j.jhe.2013.02.001" TargetMode="External"/><Relationship Id="rId114" Type="http://schemas.openxmlformats.org/officeDocument/2006/relationships/hyperlink" Target="https://doi.org/10.1016/j.regsciurbeco.2012.07.002" TargetMode="External"/><Relationship Id="rId115" Type="http://schemas.openxmlformats.org/officeDocument/2006/relationships/hyperlink" Target="https://doi.org/10.17092/jibr.2013.10.1.159" TargetMode="External"/><Relationship Id="rId116" Type="http://schemas.openxmlformats.org/officeDocument/2006/relationships/hyperlink" Target="https://doi.org/10.1016/j.econmod.2014.03.026" TargetMode="External"/><Relationship Id="rId117" Type="http://schemas.openxmlformats.org/officeDocument/2006/relationships/hyperlink" Target="https://doi.org/10.1016/j.jhe.2015.04.003" TargetMode="External"/><Relationship Id="rId118" Type="http://schemas.openxmlformats.org/officeDocument/2006/relationships/hyperlink" Target="https://doi.org/10.3846/ijspm.2018.5219" TargetMode="External"/><Relationship Id="rId119" Type="http://schemas.openxmlformats.org/officeDocument/2006/relationships/hyperlink" Target="https://doi.org/10.1007/s00168-018-0870-9" TargetMode="External"/><Relationship Id="rId120" Type="http://schemas.openxmlformats.org/officeDocument/2006/relationships/hyperlink" Target="https://doi.org/10.1080/12265934.2021.1925142" TargetMode="External"/><Relationship Id="rId121" Type="http://schemas.openxmlformats.org/officeDocument/2006/relationships/hyperlink" Target="https://doi.org/10.1108/ecam-10-2020-0850" TargetMode="External"/><Relationship Id="rId122" Type="http://schemas.openxmlformats.org/officeDocument/2006/relationships/hyperlink" Target="https://doi.org/10.1016/j.jempfin.2021.10.003" TargetMode="External"/><Relationship Id="rId123" Type="http://schemas.openxmlformats.org/officeDocument/2006/relationships/hyperlink" Target="https://doi.org/10.1111/1540-6229.12463" TargetMode="External"/><Relationship Id="rId124" Type="http://schemas.openxmlformats.org/officeDocument/2006/relationships/hyperlink" Target="https://doi.org/10.1108/ijhma-08-2023-0113" TargetMode="External"/><Relationship Id="rId125" Type="http://schemas.openxmlformats.org/officeDocument/2006/relationships/hyperlink" Target="https://doi.org/10.1108/ijhma-09-2023-0118" TargetMode="External"/><Relationship Id="rId126" Type="http://schemas.openxmlformats.org/officeDocument/2006/relationships/hyperlink" Target="https://doi.org/10.26650/istjecon2025-1707729" TargetMode="External"/><Relationship Id="rId127" Type="http://schemas.openxmlformats.org/officeDocument/2006/relationships/hyperlink" Target="https://doi.org/10.1111/fire.70004" TargetMode="External"/><Relationship Id="rId128" Type="http://schemas.openxmlformats.org/officeDocument/2006/relationships/hyperlink" Target="https://doi.org/10.1098/rsfs.2025.0069" TargetMode="External"/><Relationship Id="rId129" Type="http://schemas.openxmlformats.org/officeDocument/2006/relationships/hyperlink" Target="https://doi.org/10.4236/jfrm.2026.152007" TargetMode="External"/><Relationship Id="rId130" Type="http://schemas.openxmlformats.org/officeDocument/2006/relationships/hyperlink" Target="https://doi.org/10.1111/j.1540-6229.2012.00329.x" TargetMode="External"/><Relationship Id="rId131" Type="http://schemas.openxmlformats.org/officeDocument/2006/relationships/hyperlink" Target="https://doi.org/10.1080/14036096.2016.1196240" TargetMode="External"/><Relationship Id="rId132" Type="http://schemas.openxmlformats.org/officeDocument/2006/relationships/hyperlink" Target="https://doi.org/10.1080/10835547.2013.12091364" TargetMode="External"/><Relationship Id="rId133" Type="http://schemas.openxmlformats.org/officeDocument/2006/relationships/hyperlink" Target="https://doi.org/10.1007/s11146-014-9493-9" TargetMode="External"/><Relationship Id="rId134" Type="http://schemas.openxmlformats.org/officeDocument/2006/relationships/hyperlink" Target="https://doi.org/10.1007/s11146-015-9496-1" TargetMode="External"/><Relationship Id="rId135" Type="http://schemas.openxmlformats.org/officeDocument/2006/relationships/hyperlink" Target="https://doi.org/10.1140/epjds/s13688-018-0176-2" TargetMode="External"/><Relationship Id="rId136" Type="http://schemas.openxmlformats.org/officeDocument/2006/relationships/hyperlink" Target="https://doi.org/10.1257/aer.20141772" TargetMode="External"/><Relationship Id="rId137" Type="http://schemas.openxmlformats.org/officeDocument/2006/relationships/hyperlink" Target="https://doi.org/10.1016/j.jhe.2026.102163" TargetMode="External"/><Relationship Id="rId138" Type="http://schemas.openxmlformats.org/officeDocument/2006/relationships/hyperlink" Target="https://doi.org/10.1007/s12205-019-1926-9" TargetMode="External"/><Relationship Id="rId139" Type="http://schemas.openxmlformats.org/officeDocument/2006/relationships/hyperlink" Target="https://doi.org/10.1108/ijhma-12-2014-0058" TargetMode="External"/><Relationship Id="rId140" Type="http://schemas.openxmlformats.org/officeDocument/2006/relationships/hyperlink" Target="https://doi.org/10.1111/1540-6229.12187" TargetMode="External"/><Relationship Id="rId141" Type="http://schemas.openxmlformats.org/officeDocument/2006/relationships/hyperlink" Target="https://doi.org/10.1111/1540-6229.12335" TargetMode="External"/><Relationship Id="rId142" Type="http://schemas.openxmlformats.org/officeDocument/2006/relationships/hyperlink" Target="https://doi.org/10.1007/s11146-020-09789-y" TargetMode="External"/><Relationship Id="rId143" Type="http://schemas.openxmlformats.org/officeDocument/2006/relationships/hyperlink" Target="https://doi.org/10.53383/100332" TargetMode="External"/><Relationship Id="rId144" Type="http://schemas.openxmlformats.org/officeDocument/2006/relationships/hyperlink" Target="https://doi.org/10.1111/jofi.13208" TargetMode="External"/><Relationship Id="rId145" Type="http://schemas.openxmlformats.org/officeDocument/2006/relationships/hyperlink" Target="https://doi.org/10.2478/remav-2023-0032" TargetMode="External"/><Relationship Id="rId146" Type="http://schemas.openxmlformats.org/officeDocument/2006/relationships/hyperlink" Target="https://doi.org/10.1108/ijhma-12-2023-0166" TargetMode="External"/><Relationship Id="rId147" Type="http://schemas.openxmlformats.org/officeDocument/2006/relationships/hyperlink" Target="https://doi.org/10.1108/jerer-07-2025-0060" TargetMode="External"/><Relationship Id="rId148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9.4" hidden="false" customHeight="false" outlineLevel="0" collapsed="false">
      <c r="A1" s="1" t="s">
        <v>0</v>
      </c>
    </row>
    <row r="2" customFormat="false" ht="14.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4.15" hidden="false" customHeight="false" outlineLevel="0" collapsed="false">
      <c r="A5" s="2" t="s">
        <v>3</v>
      </c>
    </row>
    <row r="6" customFormat="false" ht="14.15" hidden="false" customHeight="false" outlineLevel="0" collapsed="false">
      <c r="A6" s="2" t="s">
        <v>4</v>
      </c>
    </row>
    <row r="7" customFormat="false" ht="14.15" hidden="false" customHeight="false" outlineLevel="0" collapsed="false">
      <c r="A7" s="2" t="s">
        <v>5</v>
      </c>
    </row>
    <row r="8" customFormat="false" ht="14.15" hidden="false" customHeight="false" outlineLevel="0" collapsed="false">
      <c r="A8" s="2" t="s">
        <v>6</v>
      </c>
    </row>
    <row r="9" customFormat="false" ht="14.15" hidden="false" customHeight="false" outlineLevel="0" collapsed="false">
      <c r="A9" s="2" t="s">
        <v>7</v>
      </c>
    </row>
    <row r="10" customFormat="false" ht="14.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3" t="s">
        <v>9</v>
      </c>
    </row>
    <row r="13" customFormat="false" ht="14.15" hidden="false" customHeight="false" outlineLevel="0" collapsed="false">
      <c r="A13" s="2" t="s">
        <v>10</v>
      </c>
    </row>
    <row r="14" customFormat="false" ht="14.15" hidden="false" customHeight="false" outlineLevel="0" collapsed="false">
      <c r="A14" s="2" t="s">
        <v>11</v>
      </c>
    </row>
    <row r="15" customFormat="false" ht="14.15" hidden="false" customHeight="false" outlineLevel="0" collapsed="false">
      <c r="A15" s="2" t="s">
        <v>12</v>
      </c>
    </row>
    <row r="16" customFormat="false" ht="14.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/>
    </row>
    <row r="18" customFormat="false" ht="15" hidden="false" customHeight="false" outlineLevel="0" collapsed="false">
      <c r="A18" s="3" t="s">
        <v>14</v>
      </c>
    </row>
    <row r="19" customFormat="false" ht="14.15" hidden="false" customHeight="false" outlineLevel="0" collapsed="false">
      <c r="A19" s="2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7"/>
    <col collapsed="false" customWidth="true" hidden="false" outlineLevel="0" max="4" min="3" style="0" width="10"/>
    <col collapsed="false" customWidth="true" hidden="false" outlineLevel="0" max="5" min="5" style="0" width="7"/>
    <col collapsed="false" customWidth="true" hidden="false" outlineLevel="0" max="6" min="6" style="0" width="60"/>
    <col collapsed="false" customWidth="true" hidden="false" outlineLevel="0" max="8" min="7" style="0" width="30"/>
    <col collapsed="false" customWidth="true" hidden="false" outlineLevel="0" max="9" min="9" style="0" width="26"/>
    <col collapsed="false" customWidth="true" hidden="false" outlineLevel="0" max="10" min="10" style="0" width="18"/>
    <col collapsed="false" customWidth="true" hidden="false" outlineLevel="0" max="11" min="11" style="0" width="20"/>
    <col collapsed="false" customWidth="true" hidden="false" outlineLevel="0" max="12" min="12" style="0" width="6"/>
    <col collapsed="false" customWidth="true" hidden="false" outlineLevel="0" max="13" min="13" style="0" width="22"/>
    <col collapsed="false" customWidth="true" hidden="false" outlineLevel="0" max="14" min="14" style="0" width="42"/>
    <col collapsed="false" customWidth="true" hidden="false" outlineLevel="0" max="15" min="15" style="0" width="40"/>
  </cols>
  <sheetData>
    <row r="1" customFormat="false" ht="15" hidden="false" customHeight="false" outlineLevel="0" collapsed="false">
      <c r="A1" s="4" t="s">
        <v>16</v>
      </c>
      <c r="B1" s="5" t="s">
        <v>17</v>
      </c>
      <c r="C1" s="5" t="s">
        <v>18</v>
      </c>
      <c r="D1" s="5" t="s">
        <v>19</v>
      </c>
      <c r="E1" s="5" t="s">
        <v>20</v>
      </c>
      <c r="F1" s="5" t="s">
        <v>21</v>
      </c>
      <c r="G1" s="5" t="s">
        <v>22</v>
      </c>
      <c r="H1" s="4" t="s">
        <v>23</v>
      </c>
      <c r="I1" s="5" t="s">
        <v>24</v>
      </c>
      <c r="J1" s="5" t="s">
        <v>25</v>
      </c>
      <c r="K1" s="5" t="s">
        <v>26</v>
      </c>
      <c r="L1" s="5" t="s">
        <v>27</v>
      </c>
      <c r="M1" s="5" t="s">
        <v>28</v>
      </c>
      <c r="N1" s="5" t="s">
        <v>29</v>
      </c>
      <c r="O1" s="5" t="s">
        <v>30</v>
      </c>
    </row>
    <row r="2" customFormat="false" ht="39.55" hidden="false" customHeight="false" outlineLevel="0" collapsed="false">
      <c r="A2" s="6" t="s">
        <v>31</v>
      </c>
      <c r="B2" s="7" t="s">
        <v>32</v>
      </c>
      <c r="C2" s="6" t="s">
        <v>33</v>
      </c>
      <c r="D2" s="7" t="s">
        <v>34</v>
      </c>
      <c r="E2" s="7" t="n">
        <v>2021</v>
      </c>
      <c r="F2" s="6" t="s">
        <v>35</v>
      </c>
      <c r="G2" s="6" t="s">
        <v>36</v>
      </c>
      <c r="H2" s="8" t="s">
        <v>37</v>
      </c>
      <c r="I2" s="6" t="s">
        <v>38</v>
      </c>
      <c r="J2" s="6" t="s">
        <v>39</v>
      </c>
      <c r="K2" s="7" t="s">
        <v>40</v>
      </c>
      <c r="L2" s="6" t="s">
        <v>41</v>
      </c>
      <c r="M2" s="7" t="s">
        <v>42</v>
      </c>
      <c r="N2" s="6" t="s">
        <v>43</v>
      </c>
      <c r="O2" s="7" t="s">
        <v>44</v>
      </c>
    </row>
    <row r="3" customFormat="false" ht="26.85" hidden="false" customHeight="false" outlineLevel="0" collapsed="false">
      <c r="A3" s="6" t="s">
        <v>45</v>
      </c>
      <c r="B3" s="6" t="s">
        <v>46</v>
      </c>
      <c r="C3" s="7" t="s">
        <v>47</v>
      </c>
      <c r="D3" s="7" t="s">
        <v>48</v>
      </c>
      <c r="E3" s="7" t="n">
        <v>2019</v>
      </c>
      <c r="F3" s="6" t="s">
        <v>49</v>
      </c>
      <c r="G3" s="6" t="s">
        <v>50</v>
      </c>
      <c r="H3" s="8" t="s">
        <v>51</v>
      </c>
      <c r="I3" s="6" t="s">
        <v>52</v>
      </c>
      <c r="J3" s="6" t="s">
        <v>53</v>
      </c>
      <c r="K3" s="7" t="s">
        <v>40</v>
      </c>
      <c r="L3" s="6" t="s">
        <v>41</v>
      </c>
      <c r="M3" s="7" t="s">
        <v>54</v>
      </c>
      <c r="N3" s="6" t="s">
        <v>55</v>
      </c>
      <c r="O3" s="7"/>
    </row>
    <row r="4" customFormat="false" ht="26.85" hidden="false" customHeight="false" outlineLevel="0" collapsed="false">
      <c r="A4" s="6" t="s">
        <v>56</v>
      </c>
      <c r="B4" s="6" t="s">
        <v>57</v>
      </c>
      <c r="C4" s="7" t="s">
        <v>34</v>
      </c>
      <c r="D4" s="7" t="s">
        <v>58</v>
      </c>
      <c r="E4" s="7" t="n">
        <v>2023</v>
      </c>
      <c r="F4" s="6" t="s">
        <v>59</v>
      </c>
      <c r="G4" s="6" t="s">
        <v>60</v>
      </c>
      <c r="H4" s="8" t="s">
        <v>61</v>
      </c>
      <c r="I4" s="6" t="s">
        <v>62</v>
      </c>
      <c r="J4" s="6" t="s">
        <v>39</v>
      </c>
      <c r="K4" s="7" t="s">
        <v>40</v>
      </c>
      <c r="L4" s="6" t="s">
        <v>41</v>
      </c>
      <c r="M4" s="7" t="s">
        <v>54</v>
      </c>
      <c r="N4" s="6" t="s">
        <v>55</v>
      </c>
      <c r="O4" s="7"/>
    </row>
    <row r="5" customFormat="false" ht="26.85" hidden="false" customHeight="false" outlineLevel="0" collapsed="false">
      <c r="A5" s="6" t="s">
        <v>63</v>
      </c>
      <c r="B5" s="6" t="s">
        <v>57</v>
      </c>
      <c r="C5" s="7" t="s">
        <v>64</v>
      </c>
      <c r="D5" s="7" t="s">
        <v>65</v>
      </c>
      <c r="E5" s="7" t="n">
        <v>2016</v>
      </c>
      <c r="F5" s="6" t="s">
        <v>66</v>
      </c>
      <c r="G5" s="6" t="s">
        <v>67</v>
      </c>
      <c r="H5" s="8" t="s">
        <v>68</v>
      </c>
      <c r="I5" s="6" t="s">
        <v>69</v>
      </c>
      <c r="J5" s="6" t="s">
        <v>39</v>
      </c>
      <c r="K5" s="7" t="s">
        <v>40</v>
      </c>
      <c r="L5" s="6" t="s">
        <v>41</v>
      </c>
      <c r="M5" s="7" t="s">
        <v>54</v>
      </c>
      <c r="N5" s="6" t="s">
        <v>55</v>
      </c>
      <c r="O5" s="7"/>
    </row>
    <row r="6" customFormat="false" ht="26.85" hidden="false" customHeight="false" outlineLevel="0" collapsed="false">
      <c r="A6" s="6" t="s">
        <v>70</v>
      </c>
      <c r="B6" s="6" t="s">
        <v>57</v>
      </c>
      <c r="C6" s="7" t="s">
        <v>65</v>
      </c>
      <c r="D6" s="7" t="s">
        <v>64</v>
      </c>
      <c r="E6" s="7" t="n">
        <v>2017</v>
      </c>
      <c r="F6" s="6" t="s">
        <v>71</v>
      </c>
      <c r="G6" s="6" t="s">
        <v>50</v>
      </c>
      <c r="H6" s="8" t="s">
        <v>72</v>
      </c>
      <c r="I6" s="6" t="s">
        <v>69</v>
      </c>
      <c r="J6" s="6" t="s">
        <v>39</v>
      </c>
      <c r="K6" s="7" t="s">
        <v>40</v>
      </c>
      <c r="L6" s="6" t="s">
        <v>41</v>
      </c>
      <c r="M6" s="7" t="s">
        <v>54</v>
      </c>
      <c r="N6" s="6" t="s">
        <v>55</v>
      </c>
      <c r="O6" s="7"/>
    </row>
    <row r="7" customFormat="false" ht="26.85" hidden="false" customHeight="false" outlineLevel="0" collapsed="false">
      <c r="A7" s="6" t="s">
        <v>73</v>
      </c>
      <c r="B7" s="6" t="s">
        <v>57</v>
      </c>
      <c r="C7" s="7" t="s">
        <v>74</v>
      </c>
      <c r="D7" s="7" t="s">
        <v>75</v>
      </c>
      <c r="E7" s="7" t="n">
        <v>2018</v>
      </c>
      <c r="F7" s="6" t="s">
        <v>76</v>
      </c>
      <c r="G7" s="6" t="s">
        <v>77</v>
      </c>
      <c r="H7" s="8" t="s">
        <v>78</v>
      </c>
      <c r="I7" s="6" t="s">
        <v>69</v>
      </c>
      <c r="J7" s="6" t="s">
        <v>39</v>
      </c>
      <c r="K7" s="7" t="s">
        <v>40</v>
      </c>
      <c r="L7" s="6" t="s">
        <v>41</v>
      </c>
      <c r="M7" s="7" t="s">
        <v>54</v>
      </c>
      <c r="N7" s="6" t="s">
        <v>55</v>
      </c>
      <c r="O7" s="7"/>
    </row>
    <row r="8" customFormat="false" ht="26.85" hidden="false" customHeight="false" outlineLevel="0" collapsed="false">
      <c r="A8" s="6" t="s">
        <v>79</v>
      </c>
      <c r="B8" s="6" t="s">
        <v>57</v>
      </c>
      <c r="C8" s="7" t="s">
        <v>75</v>
      </c>
      <c r="D8" s="7" t="s">
        <v>74</v>
      </c>
      <c r="E8" s="7" t="n">
        <v>2019</v>
      </c>
      <c r="F8" s="6" t="s">
        <v>80</v>
      </c>
      <c r="G8" s="6" t="s">
        <v>77</v>
      </c>
      <c r="H8" s="8" t="s">
        <v>81</v>
      </c>
      <c r="I8" s="6" t="s">
        <v>69</v>
      </c>
      <c r="J8" s="6" t="s">
        <v>39</v>
      </c>
      <c r="K8" s="7" t="s">
        <v>40</v>
      </c>
      <c r="L8" s="6" t="s">
        <v>41</v>
      </c>
      <c r="M8" s="7" t="s">
        <v>54</v>
      </c>
      <c r="N8" s="6" t="s">
        <v>55</v>
      </c>
      <c r="O8" s="7"/>
    </row>
    <row r="9" customFormat="false" ht="26.85" hidden="false" customHeight="false" outlineLevel="0" collapsed="false">
      <c r="A9" s="6" t="s">
        <v>82</v>
      </c>
      <c r="B9" s="6" t="s">
        <v>57</v>
      </c>
      <c r="C9" s="7" t="s">
        <v>83</v>
      </c>
      <c r="D9" s="7" t="s">
        <v>84</v>
      </c>
      <c r="E9" s="7" t="n">
        <v>2020</v>
      </c>
      <c r="F9" s="6" t="s">
        <v>85</v>
      </c>
      <c r="G9" s="6" t="s">
        <v>86</v>
      </c>
      <c r="H9" s="8" t="s">
        <v>87</v>
      </c>
      <c r="I9" s="6" t="s">
        <v>69</v>
      </c>
      <c r="J9" s="6" t="s">
        <v>39</v>
      </c>
      <c r="K9" s="7" t="s">
        <v>40</v>
      </c>
      <c r="L9" s="6" t="s">
        <v>41</v>
      </c>
      <c r="M9" s="7" t="s">
        <v>54</v>
      </c>
      <c r="N9" s="6" t="s">
        <v>55</v>
      </c>
      <c r="O9" s="7"/>
    </row>
    <row r="10" customFormat="false" ht="26.85" hidden="false" customHeight="false" outlineLevel="0" collapsed="false">
      <c r="A10" s="6" t="s">
        <v>88</v>
      </c>
      <c r="B10" s="6" t="s">
        <v>57</v>
      </c>
      <c r="C10" s="7" t="s">
        <v>84</v>
      </c>
      <c r="D10" s="7" t="s">
        <v>83</v>
      </c>
      <c r="E10" s="7" t="n">
        <v>2023</v>
      </c>
      <c r="F10" s="6" t="s">
        <v>89</v>
      </c>
      <c r="G10" s="6" t="s">
        <v>90</v>
      </c>
      <c r="H10" s="8" t="s">
        <v>91</v>
      </c>
      <c r="I10" s="6" t="s">
        <v>69</v>
      </c>
      <c r="J10" s="6" t="s">
        <v>39</v>
      </c>
      <c r="K10" s="7" t="s">
        <v>40</v>
      </c>
      <c r="L10" s="6" t="s">
        <v>41</v>
      </c>
      <c r="M10" s="7" t="s">
        <v>54</v>
      </c>
      <c r="N10" s="6" t="s">
        <v>55</v>
      </c>
      <c r="O10" s="7"/>
    </row>
    <row r="11" customFormat="false" ht="35.05" hidden="false" customHeight="false" outlineLevel="0" collapsed="false">
      <c r="A11" s="6" t="s">
        <v>92</v>
      </c>
      <c r="B11" s="6" t="s">
        <v>57</v>
      </c>
      <c r="C11" s="7" t="s">
        <v>58</v>
      </c>
      <c r="D11" s="7" t="s">
        <v>34</v>
      </c>
      <c r="E11" s="7" t="n">
        <v>2026</v>
      </c>
      <c r="F11" s="6" t="s">
        <v>93</v>
      </c>
      <c r="G11" s="7" t="s">
        <v>94</v>
      </c>
      <c r="H11" s="8" t="s">
        <v>95</v>
      </c>
      <c r="I11" s="6" t="s">
        <v>69</v>
      </c>
      <c r="J11" s="6" t="s">
        <v>39</v>
      </c>
      <c r="K11" s="7" t="s">
        <v>40</v>
      </c>
      <c r="L11" s="6" t="s">
        <v>41</v>
      </c>
      <c r="M11" s="7" t="s">
        <v>54</v>
      </c>
      <c r="N11" s="6" t="s">
        <v>55</v>
      </c>
      <c r="O11" s="7"/>
    </row>
    <row r="12" customFormat="false" ht="26.85" hidden="false" customHeight="false" outlineLevel="0" collapsed="false">
      <c r="A12" s="6" t="s">
        <v>96</v>
      </c>
      <c r="B12" s="6" t="s">
        <v>97</v>
      </c>
      <c r="C12" s="7" t="s">
        <v>65</v>
      </c>
      <c r="D12" s="7" t="s">
        <v>64</v>
      </c>
      <c r="E12" s="7" t="n">
        <v>2019</v>
      </c>
      <c r="F12" s="6" t="s">
        <v>98</v>
      </c>
      <c r="G12" s="6" t="s">
        <v>99</v>
      </c>
      <c r="H12" s="8" t="s">
        <v>100</v>
      </c>
      <c r="I12" s="6" t="s">
        <v>52</v>
      </c>
      <c r="J12" s="6" t="s">
        <v>53</v>
      </c>
      <c r="K12" s="7" t="s">
        <v>40</v>
      </c>
      <c r="L12" s="6" t="s">
        <v>41</v>
      </c>
      <c r="M12" s="7" t="s">
        <v>54</v>
      </c>
      <c r="N12" s="6" t="s">
        <v>55</v>
      </c>
      <c r="O12" s="7"/>
    </row>
    <row r="13" customFormat="false" ht="26.85" hidden="false" customHeight="false" outlineLevel="0" collapsed="false">
      <c r="A13" s="6" t="s">
        <v>101</v>
      </c>
      <c r="B13" s="6" t="s">
        <v>97</v>
      </c>
      <c r="C13" s="7" t="s">
        <v>74</v>
      </c>
      <c r="D13" s="7" t="s">
        <v>75</v>
      </c>
      <c r="E13" s="7" t="n">
        <v>2026</v>
      </c>
      <c r="F13" s="6" t="s">
        <v>102</v>
      </c>
      <c r="G13" s="6" t="s">
        <v>50</v>
      </c>
      <c r="H13" s="8" t="s">
        <v>103</v>
      </c>
      <c r="I13" s="6" t="s">
        <v>52</v>
      </c>
      <c r="J13" s="6" t="s">
        <v>53</v>
      </c>
      <c r="K13" s="7" t="s">
        <v>40</v>
      </c>
      <c r="L13" s="6" t="s">
        <v>41</v>
      </c>
      <c r="M13" s="7" t="s">
        <v>54</v>
      </c>
      <c r="N13" s="6" t="s">
        <v>55</v>
      </c>
      <c r="O13" s="7"/>
    </row>
    <row r="14" customFormat="false" ht="26.85" hidden="false" customHeight="false" outlineLevel="0" collapsed="false">
      <c r="A14" s="6" t="s">
        <v>104</v>
      </c>
      <c r="B14" s="6" t="s">
        <v>97</v>
      </c>
      <c r="C14" s="7" t="s">
        <v>64</v>
      </c>
      <c r="D14" s="7" t="s">
        <v>65</v>
      </c>
      <c r="E14" s="7" t="n">
        <v>2026</v>
      </c>
      <c r="F14" s="6" t="s">
        <v>105</v>
      </c>
      <c r="G14" s="6" t="s">
        <v>50</v>
      </c>
      <c r="H14" s="8" t="s">
        <v>106</v>
      </c>
      <c r="I14" s="6" t="s">
        <v>62</v>
      </c>
      <c r="J14" s="6" t="s">
        <v>39</v>
      </c>
      <c r="K14" s="7" t="s">
        <v>40</v>
      </c>
      <c r="L14" s="6" t="s">
        <v>41</v>
      </c>
      <c r="M14" s="7" t="s">
        <v>54</v>
      </c>
      <c r="N14" s="6" t="s">
        <v>55</v>
      </c>
      <c r="O14" s="7"/>
    </row>
    <row r="15" customFormat="false" ht="26.85" hidden="false" customHeight="false" outlineLevel="0" collapsed="false">
      <c r="A15" s="6" t="s">
        <v>107</v>
      </c>
      <c r="B15" s="6" t="s">
        <v>97</v>
      </c>
      <c r="C15" s="7" t="s">
        <v>75</v>
      </c>
      <c r="D15" s="7" t="s">
        <v>74</v>
      </c>
      <c r="E15" s="7" t="n">
        <v>2009</v>
      </c>
      <c r="F15" s="6" t="s">
        <v>108</v>
      </c>
      <c r="G15" s="7" t="s">
        <v>109</v>
      </c>
      <c r="H15" s="8" t="s">
        <v>110</v>
      </c>
      <c r="I15" s="6" t="s">
        <v>38</v>
      </c>
      <c r="J15" s="6" t="s">
        <v>111</v>
      </c>
      <c r="K15" s="7" t="s">
        <v>40</v>
      </c>
      <c r="L15" s="6" t="s">
        <v>41</v>
      </c>
      <c r="M15" s="7" t="s">
        <v>54</v>
      </c>
      <c r="N15" s="6" t="s">
        <v>55</v>
      </c>
      <c r="O15" s="7"/>
    </row>
    <row r="16" customFormat="false" ht="26.85" hidden="false" customHeight="false" outlineLevel="0" collapsed="false">
      <c r="A16" s="6" t="s">
        <v>112</v>
      </c>
      <c r="B16" s="6" t="s">
        <v>97</v>
      </c>
      <c r="C16" s="7" t="s">
        <v>84</v>
      </c>
      <c r="D16" s="7" t="s">
        <v>83</v>
      </c>
      <c r="E16" s="7" t="n">
        <v>2011</v>
      </c>
      <c r="F16" s="6" t="s">
        <v>113</v>
      </c>
      <c r="G16" s="7" t="s">
        <v>109</v>
      </c>
      <c r="H16" s="8" t="s">
        <v>114</v>
      </c>
      <c r="I16" s="6" t="s">
        <v>38</v>
      </c>
      <c r="J16" s="6" t="s">
        <v>39</v>
      </c>
      <c r="K16" s="7" t="s">
        <v>40</v>
      </c>
      <c r="L16" s="6" t="s">
        <v>41</v>
      </c>
      <c r="M16" s="7" t="s">
        <v>54</v>
      </c>
      <c r="N16" s="6" t="s">
        <v>55</v>
      </c>
      <c r="O16" s="7"/>
    </row>
    <row r="17" customFormat="false" ht="26.85" hidden="false" customHeight="false" outlineLevel="0" collapsed="false">
      <c r="A17" s="6" t="s">
        <v>115</v>
      </c>
      <c r="B17" s="6" t="s">
        <v>97</v>
      </c>
      <c r="C17" s="7" t="s">
        <v>58</v>
      </c>
      <c r="D17" s="7" t="s">
        <v>34</v>
      </c>
      <c r="E17" s="7" t="n">
        <v>2017</v>
      </c>
      <c r="F17" s="6" t="s">
        <v>116</v>
      </c>
      <c r="G17" s="7" t="s">
        <v>117</v>
      </c>
      <c r="H17" s="8" t="s">
        <v>118</v>
      </c>
      <c r="I17" s="6" t="s">
        <v>38</v>
      </c>
      <c r="J17" s="6" t="s">
        <v>39</v>
      </c>
      <c r="K17" s="7" t="s">
        <v>40</v>
      </c>
      <c r="L17" s="6" t="s">
        <v>41</v>
      </c>
      <c r="M17" s="7" t="s">
        <v>54</v>
      </c>
      <c r="N17" s="6" t="s">
        <v>55</v>
      </c>
      <c r="O17" s="7"/>
    </row>
    <row r="18" customFormat="false" ht="26.85" hidden="false" customHeight="false" outlineLevel="0" collapsed="false">
      <c r="A18" s="6" t="s">
        <v>119</v>
      </c>
      <c r="B18" s="6" t="s">
        <v>97</v>
      </c>
      <c r="C18" s="7" t="s">
        <v>34</v>
      </c>
      <c r="D18" s="7" t="s">
        <v>58</v>
      </c>
      <c r="E18" s="7" t="n">
        <v>2018</v>
      </c>
      <c r="F18" s="6" t="s">
        <v>120</v>
      </c>
      <c r="G18" s="6" t="s">
        <v>121</v>
      </c>
      <c r="H18" s="8" t="s">
        <v>122</v>
      </c>
      <c r="I18" s="6" t="s">
        <v>38</v>
      </c>
      <c r="J18" s="6" t="s">
        <v>39</v>
      </c>
      <c r="K18" s="7" t="s">
        <v>40</v>
      </c>
      <c r="L18" s="6" t="s">
        <v>41</v>
      </c>
      <c r="M18" s="7" t="s">
        <v>54</v>
      </c>
      <c r="N18" s="6" t="s">
        <v>55</v>
      </c>
      <c r="O18" s="7"/>
    </row>
    <row r="19" customFormat="false" ht="15" hidden="false" customHeight="false" outlineLevel="0" collapsed="false">
      <c r="A19" s="6" t="s">
        <v>123</v>
      </c>
      <c r="B19" s="6" t="s">
        <v>97</v>
      </c>
      <c r="C19" s="7" t="s">
        <v>83</v>
      </c>
      <c r="D19" s="7" t="s">
        <v>84</v>
      </c>
      <c r="E19" s="7" t="n">
        <v>2018</v>
      </c>
      <c r="F19" s="6" t="s">
        <v>124</v>
      </c>
      <c r="G19" s="6" t="s">
        <v>125</v>
      </c>
      <c r="H19" s="8" t="s">
        <v>126</v>
      </c>
      <c r="I19" s="6" t="s">
        <v>38</v>
      </c>
      <c r="J19" s="6" t="s">
        <v>111</v>
      </c>
      <c r="K19" s="7" t="s">
        <v>40</v>
      </c>
      <c r="L19" s="6" t="s">
        <v>41</v>
      </c>
      <c r="M19" s="7" t="s">
        <v>42</v>
      </c>
      <c r="N19" s="6" t="s">
        <v>127</v>
      </c>
      <c r="O19" s="7"/>
    </row>
    <row r="20" customFormat="false" ht="26.85" hidden="false" customHeight="false" outlineLevel="0" collapsed="false">
      <c r="A20" s="6" t="s">
        <v>128</v>
      </c>
      <c r="B20" s="6" t="s">
        <v>129</v>
      </c>
      <c r="C20" s="7" t="s">
        <v>64</v>
      </c>
      <c r="D20" s="7" t="s">
        <v>65</v>
      </c>
      <c r="E20" s="7" t="n">
        <v>2018</v>
      </c>
      <c r="F20" s="6" t="s">
        <v>130</v>
      </c>
      <c r="G20" s="7" t="s">
        <v>109</v>
      </c>
      <c r="H20" s="8" t="s">
        <v>131</v>
      </c>
      <c r="I20" s="6" t="s">
        <v>38</v>
      </c>
      <c r="J20" s="6" t="s">
        <v>39</v>
      </c>
      <c r="K20" s="7" t="s">
        <v>40</v>
      </c>
      <c r="L20" s="6" t="s">
        <v>41</v>
      </c>
      <c r="M20" s="7" t="s">
        <v>54</v>
      </c>
      <c r="N20" s="6" t="s">
        <v>55</v>
      </c>
      <c r="O20" s="7"/>
    </row>
    <row r="21" customFormat="false" ht="26.85" hidden="false" customHeight="false" outlineLevel="0" collapsed="false">
      <c r="A21" s="6" t="s">
        <v>132</v>
      </c>
      <c r="B21" s="6" t="s">
        <v>129</v>
      </c>
      <c r="C21" s="7" t="s">
        <v>65</v>
      </c>
      <c r="D21" s="7" t="s">
        <v>64</v>
      </c>
      <c r="E21" s="7" t="n">
        <v>2019</v>
      </c>
      <c r="F21" s="6" t="s">
        <v>133</v>
      </c>
      <c r="G21" s="7" t="s">
        <v>134</v>
      </c>
      <c r="H21" s="8" t="s">
        <v>135</v>
      </c>
      <c r="I21" s="6" t="s">
        <v>38</v>
      </c>
      <c r="J21" s="6" t="s">
        <v>39</v>
      </c>
      <c r="K21" s="7" t="s">
        <v>40</v>
      </c>
      <c r="L21" s="6" t="s">
        <v>41</v>
      </c>
      <c r="M21" s="7" t="s">
        <v>54</v>
      </c>
      <c r="N21" s="6" t="s">
        <v>55</v>
      </c>
      <c r="O21" s="7"/>
    </row>
    <row r="22" customFormat="false" ht="26.85" hidden="false" customHeight="false" outlineLevel="0" collapsed="false">
      <c r="A22" s="6" t="s">
        <v>136</v>
      </c>
      <c r="B22" s="6" t="s">
        <v>129</v>
      </c>
      <c r="C22" s="7" t="s">
        <v>74</v>
      </c>
      <c r="D22" s="7" t="s">
        <v>75</v>
      </c>
      <c r="E22" s="7" t="n">
        <v>2020</v>
      </c>
      <c r="F22" s="6" t="s">
        <v>137</v>
      </c>
      <c r="G22" s="6" t="s">
        <v>77</v>
      </c>
      <c r="H22" s="8" t="s">
        <v>138</v>
      </c>
      <c r="I22" s="6" t="s">
        <v>38</v>
      </c>
      <c r="J22" s="6" t="s">
        <v>39</v>
      </c>
      <c r="K22" s="7" t="s">
        <v>40</v>
      </c>
      <c r="L22" s="6" t="s">
        <v>41</v>
      </c>
      <c r="M22" s="7" t="s">
        <v>54</v>
      </c>
      <c r="N22" s="6" t="s">
        <v>55</v>
      </c>
      <c r="O22" s="7"/>
    </row>
    <row r="23" customFormat="false" ht="26.85" hidden="false" customHeight="false" outlineLevel="0" collapsed="false">
      <c r="A23" s="6" t="s">
        <v>139</v>
      </c>
      <c r="B23" s="6" t="s">
        <v>129</v>
      </c>
      <c r="C23" s="7" t="s">
        <v>75</v>
      </c>
      <c r="D23" s="7" t="s">
        <v>74</v>
      </c>
      <c r="E23" s="7" t="n">
        <v>2020</v>
      </c>
      <c r="F23" s="6" t="s">
        <v>140</v>
      </c>
      <c r="G23" s="7" t="s">
        <v>141</v>
      </c>
      <c r="H23" s="8" t="s">
        <v>142</v>
      </c>
      <c r="I23" s="6" t="s">
        <v>38</v>
      </c>
      <c r="J23" s="6" t="s">
        <v>39</v>
      </c>
      <c r="K23" s="7" t="s">
        <v>40</v>
      </c>
      <c r="L23" s="6" t="s">
        <v>41</v>
      </c>
      <c r="M23" s="7" t="s">
        <v>54</v>
      </c>
      <c r="N23" s="6" t="s">
        <v>55</v>
      </c>
      <c r="O23" s="7"/>
    </row>
    <row r="24" customFormat="false" ht="26.85" hidden="false" customHeight="false" outlineLevel="0" collapsed="false">
      <c r="A24" s="6" t="s">
        <v>143</v>
      </c>
      <c r="B24" s="6" t="s">
        <v>129</v>
      </c>
      <c r="C24" s="7" t="s">
        <v>83</v>
      </c>
      <c r="D24" s="7" t="s">
        <v>84</v>
      </c>
      <c r="E24" s="7" t="n">
        <v>2020</v>
      </c>
      <c r="F24" s="6" t="s">
        <v>144</v>
      </c>
      <c r="G24" s="7" t="s">
        <v>145</v>
      </c>
      <c r="H24" s="8" t="s">
        <v>146</v>
      </c>
      <c r="I24" s="6" t="s">
        <v>38</v>
      </c>
      <c r="J24" s="6" t="s">
        <v>39</v>
      </c>
      <c r="K24" s="7" t="s">
        <v>40</v>
      </c>
      <c r="L24" s="6" t="s">
        <v>41</v>
      </c>
      <c r="M24" s="7" t="s">
        <v>54</v>
      </c>
      <c r="N24" s="6" t="s">
        <v>55</v>
      </c>
      <c r="O24" s="7"/>
    </row>
    <row r="25" customFormat="false" ht="26.85" hidden="false" customHeight="false" outlineLevel="0" collapsed="false">
      <c r="A25" s="6" t="s">
        <v>147</v>
      </c>
      <c r="B25" s="6" t="s">
        <v>129</v>
      </c>
      <c r="C25" s="7" t="s">
        <v>84</v>
      </c>
      <c r="D25" s="7" t="s">
        <v>83</v>
      </c>
      <c r="E25" s="7" t="n">
        <v>2022</v>
      </c>
      <c r="F25" s="6" t="s">
        <v>148</v>
      </c>
      <c r="G25" s="6" t="s">
        <v>149</v>
      </c>
      <c r="H25" s="8" t="s">
        <v>150</v>
      </c>
      <c r="I25" s="6" t="s">
        <v>38</v>
      </c>
      <c r="J25" s="6" t="s">
        <v>39</v>
      </c>
      <c r="K25" s="7" t="s">
        <v>40</v>
      </c>
      <c r="L25" s="6" t="s">
        <v>41</v>
      </c>
      <c r="M25" s="7" t="s">
        <v>54</v>
      </c>
      <c r="N25" s="6" t="s">
        <v>55</v>
      </c>
      <c r="O25" s="7"/>
    </row>
    <row r="26" customFormat="false" ht="26.85" hidden="false" customHeight="false" outlineLevel="0" collapsed="false">
      <c r="A26" s="6" t="s">
        <v>151</v>
      </c>
      <c r="B26" s="6" t="s">
        <v>129</v>
      </c>
      <c r="C26" s="7" t="s">
        <v>58</v>
      </c>
      <c r="D26" s="7" t="s">
        <v>34</v>
      </c>
      <c r="E26" s="7" t="n">
        <v>2024</v>
      </c>
      <c r="F26" s="6" t="s">
        <v>152</v>
      </c>
      <c r="G26" s="7" t="s">
        <v>153</v>
      </c>
      <c r="H26" s="8" t="s">
        <v>154</v>
      </c>
      <c r="I26" s="6" t="s">
        <v>38</v>
      </c>
      <c r="J26" s="6" t="s">
        <v>39</v>
      </c>
      <c r="K26" s="7" t="s">
        <v>40</v>
      </c>
      <c r="L26" s="6" t="s">
        <v>41</v>
      </c>
      <c r="M26" s="7" t="s">
        <v>54</v>
      </c>
      <c r="N26" s="6" t="s">
        <v>55</v>
      </c>
      <c r="O26" s="7"/>
    </row>
    <row r="27" customFormat="false" ht="26.85" hidden="false" customHeight="false" outlineLevel="0" collapsed="false">
      <c r="A27" s="6" t="s">
        <v>155</v>
      </c>
      <c r="B27" s="6" t="s">
        <v>129</v>
      </c>
      <c r="C27" s="7" t="s">
        <v>34</v>
      </c>
      <c r="D27" s="7" t="s">
        <v>58</v>
      </c>
      <c r="E27" s="7" t="n">
        <v>2024</v>
      </c>
      <c r="F27" s="6" t="s">
        <v>156</v>
      </c>
      <c r="G27" s="6" t="s">
        <v>157</v>
      </c>
      <c r="H27" s="8" t="s">
        <v>158</v>
      </c>
      <c r="I27" s="6" t="s">
        <v>38</v>
      </c>
      <c r="J27" s="6" t="s">
        <v>39</v>
      </c>
      <c r="K27" s="7" t="s">
        <v>40</v>
      </c>
      <c r="L27" s="6" t="s">
        <v>41</v>
      </c>
      <c r="M27" s="7" t="s">
        <v>54</v>
      </c>
      <c r="N27" s="6" t="s">
        <v>55</v>
      </c>
      <c r="O27" s="7"/>
    </row>
    <row r="28" customFormat="false" ht="26.85" hidden="false" customHeight="false" outlineLevel="0" collapsed="false">
      <c r="A28" s="6" t="s">
        <v>159</v>
      </c>
      <c r="B28" s="6" t="s">
        <v>160</v>
      </c>
      <c r="C28" s="7" t="s">
        <v>74</v>
      </c>
      <c r="D28" s="7" t="s">
        <v>64</v>
      </c>
      <c r="E28" s="7" t="n">
        <v>1988</v>
      </c>
      <c r="F28" s="6" t="s">
        <v>161</v>
      </c>
      <c r="G28" s="6" t="s">
        <v>162</v>
      </c>
      <c r="H28" s="8" t="s">
        <v>163</v>
      </c>
      <c r="I28" s="6" t="s">
        <v>52</v>
      </c>
      <c r="J28" s="6" t="s">
        <v>53</v>
      </c>
      <c r="K28" s="6" t="s">
        <v>164</v>
      </c>
      <c r="L28" s="7"/>
      <c r="M28" s="7" t="s">
        <v>165</v>
      </c>
      <c r="N28" s="7" t="s">
        <v>166</v>
      </c>
      <c r="O28" s="7"/>
    </row>
    <row r="29" customFormat="false" ht="26.85" hidden="false" customHeight="false" outlineLevel="0" collapsed="false">
      <c r="A29" s="6" t="s">
        <v>167</v>
      </c>
      <c r="B29" s="6" t="s">
        <v>160</v>
      </c>
      <c r="C29" s="7" t="s">
        <v>75</v>
      </c>
      <c r="D29" s="7" t="s">
        <v>84</v>
      </c>
      <c r="E29" s="7" t="n">
        <v>1990</v>
      </c>
      <c r="F29" s="6" t="s">
        <v>168</v>
      </c>
      <c r="G29" s="6" t="s">
        <v>162</v>
      </c>
      <c r="H29" s="8" t="s">
        <v>169</v>
      </c>
      <c r="I29" s="6" t="s">
        <v>52</v>
      </c>
      <c r="J29" s="6" t="s">
        <v>53</v>
      </c>
      <c r="K29" s="6" t="s">
        <v>164</v>
      </c>
      <c r="L29" s="7"/>
      <c r="M29" s="7" t="s">
        <v>165</v>
      </c>
      <c r="N29" s="7" t="s">
        <v>166</v>
      </c>
      <c r="O29" s="7"/>
    </row>
    <row r="30" customFormat="false" ht="26.85" hidden="false" customHeight="false" outlineLevel="0" collapsed="false">
      <c r="A30" s="6" t="s">
        <v>170</v>
      </c>
      <c r="B30" s="6" t="s">
        <v>160</v>
      </c>
      <c r="C30" s="7" t="s">
        <v>83</v>
      </c>
      <c r="D30" s="7" t="s">
        <v>65</v>
      </c>
      <c r="E30" s="7" t="n">
        <v>2010</v>
      </c>
      <c r="F30" s="6" t="s">
        <v>171</v>
      </c>
      <c r="G30" s="6" t="s">
        <v>172</v>
      </c>
      <c r="H30" s="8" t="s">
        <v>173</v>
      </c>
      <c r="I30" s="6" t="s">
        <v>52</v>
      </c>
      <c r="J30" s="6" t="s">
        <v>53</v>
      </c>
      <c r="K30" s="6" t="s">
        <v>164</v>
      </c>
      <c r="L30" s="7"/>
      <c r="M30" s="7" t="s">
        <v>165</v>
      </c>
      <c r="N30" s="7" t="s">
        <v>166</v>
      </c>
      <c r="O30" s="7"/>
    </row>
    <row r="31" customFormat="false" ht="26.85" hidden="false" customHeight="false" outlineLevel="0" collapsed="false">
      <c r="A31" s="6" t="s">
        <v>174</v>
      </c>
      <c r="B31" s="6" t="s">
        <v>160</v>
      </c>
      <c r="C31" s="7" t="s">
        <v>84</v>
      </c>
      <c r="D31" s="7" t="s">
        <v>34</v>
      </c>
      <c r="E31" s="7" t="n">
        <v>2012</v>
      </c>
      <c r="F31" s="6" t="s">
        <v>175</v>
      </c>
      <c r="G31" s="6" t="s">
        <v>176</v>
      </c>
      <c r="H31" s="8" t="s">
        <v>177</v>
      </c>
      <c r="I31" s="6" t="s">
        <v>52</v>
      </c>
      <c r="J31" s="6" t="s">
        <v>53</v>
      </c>
      <c r="K31" s="7" t="s">
        <v>40</v>
      </c>
      <c r="L31" s="7"/>
      <c r="M31" s="7" t="s">
        <v>165</v>
      </c>
      <c r="N31" s="7" t="s">
        <v>166</v>
      </c>
      <c r="O31" s="7"/>
    </row>
    <row r="32" customFormat="false" ht="26.85" hidden="false" customHeight="false" outlineLevel="0" collapsed="false">
      <c r="A32" s="6" t="s">
        <v>178</v>
      </c>
      <c r="B32" s="6" t="s">
        <v>160</v>
      </c>
      <c r="C32" s="7" t="s">
        <v>58</v>
      </c>
      <c r="D32" s="7" t="s">
        <v>74</v>
      </c>
      <c r="E32" s="7" t="n">
        <v>2012</v>
      </c>
      <c r="F32" s="6" t="s">
        <v>179</v>
      </c>
      <c r="G32" s="6" t="s">
        <v>180</v>
      </c>
      <c r="H32" s="8" t="s">
        <v>181</v>
      </c>
      <c r="I32" s="6" t="s">
        <v>52</v>
      </c>
      <c r="J32" s="6" t="s">
        <v>53</v>
      </c>
      <c r="K32" s="7" t="s">
        <v>40</v>
      </c>
      <c r="L32" s="7"/>
      <c r="M32" s="7" t="s">
        <v>165</v>
      </c>
      <c r="N32" s="7" t="s">
        <v>166</v>
      </c>
      <c r="O32" s="7"/>
    </row>
    <row r="33" customFormat="false" ht="26.85" hidden="false" customHeight="false" outlineLevel="0" collapsed="false">
      <c r="A33" s="6" t="s">
        <v>182</v>
      </c>
      <c r="B33" s="6" t="s">
        <v>160</v>
      </c>
      <c r="C33" s="7" t="s">
        <v>34</v>
      </c>
      <c r="D33" s="7" t="s">
        <v>58</v>
      </c>
      <c r="E33" s="7" t="n">
        <v>2015</v>
      </c>
      <c r="F33" s="6" t="s">
        <v>183</v>
      </c>
      <c r="G33" s="6" t="s">
        <v>184</v>
      </c>
      <c r="H33" s="7"/>
      <c r="I33" s="6" t="s">
        <v>52</v>
      </c>
      <c r="J33" s="6" t="s">
        <v>53</v>
      </c>
      <c r="K33" s="7" t="s">
        <v>40</v>
      </c>
      <c r="L33" s="7"/>
      <c r="M33" s="7" t="s">
        <v>165</v>
      </c>
      <c r="N33" s="7" t="s">
        <v>166</v>
      </c>
      <c r="O33" s="7"/>
    </row>
    <row r="34" customFormat="false" ht="26.85" hidden="false" customHeight="false" outlineLevel="0" collapsed="false">
      <c r="A34" s="6" t="s">
        <v>185</v>
      </c>
      <c r="B34" s="6" t="s">
        <v>160</v>
      </c>
      <c r="C34" s="7" t="s">
        <v>64</v>
      </c>
      <c r="D34" s="7" t="s">
        <v>75</v>
      </c>
      <c r="E34" s="7" t="n">
        <v>2026</v>
      </c>
      <c r="F34" s="6" t="s">
        <v>186</v>
      </c>
      <c r="G34" s="6" t="s">
        <v>187</v>
      </c>
      <c r="H34" s="8" t="s">
        <v>188</v>
      </c>
      <c r="I34" s="6" t="s">
        <v>189</v>
      </c>
      <c r="J34" s="6" t="s">
        <v>53</v>
      </c>
      <c r="K34" s="7" t="s">
        <v>40</v>
      </c>
      <c r="L34" s="6" t="s">
        <v>41</v>
      </c>
      <c r="M34" s="7" t="s">
        <v>54</v>
      </c>
      <c r="N34" s="6" t="s">
        <v>55</v>
      </c>
      <c r="O34" s="7"/>
    </row>
    <row r="35" customFormat="false" ht="23.85" hidden="false" customHeight="false" outlineLevel="0" collapsed="false">
      <c r="A35" s="6" t="s">
        <v>190</v>
      </c>
      <c r="B35" s="6" t="s">
        <v>160</v>
      </c>
      <c r="C35" s="7" t="s">
        <v>65</v>
      </c>
      <c r="D35" s="7" t="s">
        <v>83</v>
      </c>
      <c r="E35" s="7" t="n">
        <v>2026</v>
      </c>
      <c r="F35" s="6" t="s">
        <v>191</v>
      </c>
      <c r="G35" s="6" t="s">
        <v>192</v>
      </c>
      <c r="H35" s="8" t="s">
        <v>193</v>
      </c>
      <c r="I35" s="6" t="s">
        <v>189</v>
      </c>
      <c r="J35" s="6" t="s">
        <v>53</v>
      </c>
      <c r="K35" s="7" t="s">
        <v>40</v>
      </c>
      <c r="L35" s="6" t="s">
        <v>41</v>
      </c>
      <c r="M35" s="7" t="s">
        <v>42</v>
      </c>
      <c r="N35" s="6" t="s">
        <v>194</v>
      </c>
      <c r="O35" s="7"/>
    </row>
    <row r="36" customFormat="false" ht="26.85" hidden="false" customHeight="false" outlineLevel="0" collapsed="false">
      <c r="A36" s="6" t="s">
        <v>195</v>
      </c>
      <c r="B36" s="6" t="s">
        <v>196</v>
      </c>
      <c r="C36" s="7" t="s">
        <v>83</v>
      </c>
      <c r="D36" s="7" t="s">
        <v>65</v>
      </c>
      <c r="E36" s="7" t="n">
        <v>1994</v>
      </c>
      <c r="F36" s="6" t="s">
        <v>197</v>
      </c>
      <c r="G36" s="6" t="s">
        <v>198</v>
      </c>
      <c r="H36" s="8" t="s">
        <v>199</v>
      </c>
      <c r="I36" s="6" t="s">
        <v>52</v>
      </c>
      <c r="J36" s="6" t="s">
        <v>111</v>
      </c>
      <c r="K36" s="6" t="s">
        <v>164</v>
      </c>
      <c r="L36" s="7"/>
      <c r="M36" s="7" t="s">
        <v>165</v>
      </c>
      <c r="N36" s="7" t="s">
        <v>166</v>
      </c>
      <c r="O36" s="7"/>
    </row>
    <row r="37" customFormat="false" ht="26.85" hidden="false" customHeight="false" outlineLevel="0" collapsed="false">
      <c r="A37" s="6" t="s">
        <v>200</v>
      </c>
      <c r="B37" s="6" t="s">
        <v>196</v>
      </c>
      <c r="C37" s="7" t="s">
        <v>84</v>
      </c>
      <c r="D37" s="7" t="s">
        <v>34</v>
      </c>
      <c r="E37" s="7" t="n">
        <v>2003</v>
      </c>
      <c r="F37" s="6" t="s">
        <v>201</v>
      </c>
      <c r="G37" s="6" t="s">
        <v>202</v>
      </c>
      <c r="H37" s="8" t="s">
        <v>203</v>
      </c>
      <c r="I37" s="6" t="s">
        <v>52</v>
      </c>
      <c r="J37" s="6" t="s">
        <v>111</v>
      </c>
      <c r="K37" s="7" t="s">
        <v>204</v>
      </c>
      <c r="L37" s="7"/>
      <c r="M37" s="7" t="s">
        <v>165</v>
      </c>
      <c r="N37" s="7" t="s">
        <v>166</v>
      </c>
      <c r="O37" s="7"/>
    </row>
    <row r="38" customFormat="false" ht="26.85" hidden="false" customHeight="false" outlineLevel="0" collapsed="false">
      <c r="A38" s="6" t="s">
        <v>205</v>
      </c>
      <c r="B38" s="6" t="s">
        <v>196</v>
      </c>
      <c r="C38" s="7" t="s">
        <v>58</v>
      </c>
      <c r="D38" s="7" t="s">
        <v>74</v>
      </c>
      <c r="E38" s="7" t="n">
        <v>2006</v>
      </c>
      <c r="F38" s="6" t="s">
        <v>206</v>
      </c>
      <c r="G38" s="6" t="s">
        <v>162</v>
      </c>
      <c r="H38" s="8" t="s">
        <v>207</v>
      </c>
      <c r="I38" s="6" t="s">
        <v>52</v>
      </c>
      <c r="J38" s="6" t="s">
        <v>111</v>
      </c>
      <c r="K38" s="7" t="s">
        <v>40</v>
      </c>
      <c r="L38" s="7"/>
      <c r="M38" s="7" t="s">
        <v>165</v>
      </c>
      <c r="N38" s="7" t="s">
        <v>166</v>
      </c>
      <c r="O38" s="7"/>
    </row>
    <row r="39" customFormat="false" ht="26.85" hidden="false" customHeight="false" outlineLevel="0" collapsed="false">
      <c r="A39" s="6" t="s">
        <v>208</v>
      </c>
      <c r="B39" s="6" t="s">
        <v>196</v>
      </c>
      <c r="C39" s="7" t="s">
        <v>34</v>
      </c>
      <c r="D39" s="7" t="s">
        <v>58</v>
      </c>
      <c r="E39" s="7" t="n">
        <v>2007</v>
      </c>
      <c r="F39" s="6" t="s">
        <v>209</v>
      </c>
      <c r="G39" s="6" t="s">
        <v>210</v>
      </c>
      <c r="H39" s="8" t="s">
        <v>211</v>
      </c>
      <c r="I39" s="6" t="s">
        <v>52</v>
      </c>
      <c r="J39" s="6" t="s">
        <v>111</v>
      </c>
      <c r="K39" s="6" t="s">
        <v>164</v>
      </c>
      <c r="L39" s="7"/>
      <c r="M39" s="7" t="s">
        <v>165</v>
      </c>
      <c r="N39" s="7" t="s">
        <v>166</v>
      </c>
      <c r="O39" s="7"/>
    </row>
    <row r="40" customFormat="false" ht="26.85" hidden="false" customHeight="false" outlineLevel="0" collapsed="false">
      <c r="A40" s="6" t="s">
        <v>212</v>
      </c>
      <c r="B40" s="6" t="s">
        <v>196</v>
      </c>
      <c r="C40" s="7" t="s">
        <v>65</v>
      </c>
      <c r="D40" s="7" t="s">
        <v>83</v>
      </c>
      <c r="E40" s="7" t="n">
        <v>2020</v>
      </c>
      <c r="F40" s="6" t="s">
        <v>213</v>
      </c>
      <c r="G40" s="6" t="s">
        <v>214</v>
      </c>
      <c r="H40" s="8" t="s">
        <v>215</v>
      </c>
      <c r="I40" s="6" t="s">
        <v>52</v>
      </c>
      <c r="J40" s="6" t="s">
        <v>53</v>
      </c>
      <c r="K40" s="6" t="s">
        <v>216</v>
      </c>
      <c r="L40" s="7"/>
      <c r="M40" s="7" t="s">
        <v>165</v>
      </c>
      <c r="N40" s="7" t="s">
        <v>166</v>
      </c>
      <c r="O40" s="7"/>
    </row>
    <row r="41" customFormat="false" ht="26.85" hidden="false" customHeight="false" outlineLevel="0" collapsed="false">
      <c r="A41" s="6" t="s">
        <v>217</v>
      </c>
      <c r="B41" s="6" t="s">
        <v>196</v>
      </c>
      <c r="C41" s="7" t="s">
        <v>74</v>
      </c>
      <c r="D41" s="7" t="s">
        <v>64</v>
      </c>
      <c r="E41" s="7" t="n">
        <v>2020</v>
      </c>
      <c r="F41" s="6" t="s">
        <v>218</v>
      </c>
      <c r="G41" s="6" t="s">
        <v>219</v>
      </c>
      <c r="H41" s="8" t="s">
        <v>220</v>
      </c>
      <c r="I41" s="6" t="s">
        <v>52</v>
      </c>
      <c r="J41" s="6" t="s">
        <v>53</v>
      </c>
      <c r="K41" s="7" t="s">
        <v>40</v>
      </c>
      <c r="L41" s="7"/>
      <c r="M41" s="7" t="s">
        <v>165</v>
      </c>
      <c r="N41" s="7" t="s">
        <v>166</v>
      </c>
      <c r="O41" s="7"/>
    </row>
    <row r="42" customFormat="false" ht="23.85" hidden="false" customHeight="false" outlineLevel="0" collapsed="false">
      <c r="A42" s="6" t="s">
        <v>221</v>
      </c>
      <c r="B42" s="6" t="s">
        <v>196</v>
      </c>
      <c r="C42" s="7" t="s">
        <v>75</v>
      </c>
      <c r="D42" s="7" t="s">
        <v>84</v>
      </c>
      <c r="E42" s="7" t="n">
        <v>2022</v>
      </c>
      <c r="F42" s="6" t="s">
        <v>222</v>
      </c>
      <c r="G42" s="6" t="s">
        <v>223</v>
      </c>
      <c r="H42" s="8" t="s">
        <v>224</v>
      </c>
      <c r="I42" s="6" t="s">
        <v>52</v>
      </c>
      <c r="J42" s="6" t="s">
        <v>53</v>
      </c>
      <c r="K42" s="7" t="s">
        <v>40</v>
      </c>
      <c r="L42" s="7"/>
      <c r="M42" s="7" t="s">
        <v>225</v>
      </c>
      <c r="N42" s="6" t="s">
        <v>226</v>
      </c>
      <c r="O42" s="7"/>
    </row>
    <row r="43" customFormat="false" ht="26.85" hidden="false" customHeight="false" outlineLevel="0" collapsed="false">
      <c r="A43" s="6" t="s">
        <v>227</v>
      </c>
      <c r="B43" s="6" t="s">
        <v>196</v>
      </c>
      <c r="C43" s="7" t="s">
        <v>64</v>
      </c>
      <c r="D43" s="7" t="s">
        <v>75</v>
      </c>
      <c r="E43" s="7" t="n">
        <v>2019</v>
      </c>
      <c r="F43" s="6" t="s">
        <v>228</v>
      </c>
      <c r="G43" s="6" t="s">
        <v>229</v>
      </c>
      <c r="H43" s="8" t="s">
        <v>230</v>
      </c>
      <c r="I43" s="6" t="s">
        <v>52</v>
      </c>
      <c r="J43" s="6" t="s">
        <v>53</v>
      </c>
      <c r="K43" s="6" t="s">
        <v>164</v>
      </c>
      <c r="L43" s="7"/>
      <c r="M43" s="7" t="s">
        <v>165</v>
      </c>
      <c r="N43" s="7" t="s">
        <v>166</v>
      </c>
      <c r="O43" s="7"/>
    </row>
    <row r="44" customFormat="false" ht="26.85" hidden="false" customHeight="false" outlineLevel="0" collapsed="false">
      <c r="A44" s="6" t="s">
        <v>231</v>
      </c>
      <c r="B44" s="6" t="s">
        <v>232</v>
      </c>
      <c r="C44" s="7" t="s">
        <v>65</v>
      </c>
      <c r="D44" s="7" t="s">
        <v>83</v>
      </c>
      <c r="E44" s="7" t="n">
        <v>2009</v>
      </c>
      <c r="F44" s="6" t="s">
        <v>233</v>
      </c>
      <c r="G44" s="6" t="s">
        <v>210</v>
      </c>
      <c r="H44" s="8" t="s">
        <v>234</v>
      </c>
      <c r="I44" s="6" t="s">
        <v>52</v>
      </c>
      <c r="J44" s="6" t="s">
        <v>111</v>
      </c>
      <c r="K44" s="6" t="s">
        <v>164</v>
      </c>
      <c r="L44" s="7"/>
      <c r="M44" s="7" t="s">
        <v>165</v>
      </c>
      <c r="N44" s="7" t="s">
        <v>166</v>
      </c>
      <c r="O44" s="7"/>
    </row>
    <row r="45" customFormat="false" ht="26.85" hidden="false" customHeight="false" outlineLevel="0" collapsed="false">
      <c r="A45" s="6" t="s">
        <v>235</v>
      </c>
      <c r="B45" s="6" t="s">
        <v>232</v>
      </c>
      <c r="C45" s="7" t="s">
        <v>74</v>
      </c>
      <c r="D45" s="7" t="s">
        <v>64</v>
      </c>
      <c r="E45" s="7" t="n">
        <v>2012</v>
      </c>
      <c r="F45" s="6" t="s">
        <v>236</v>
      </c>
      <c r="G45" s="6" t="s">
        <v>237</v>
      </c>
      <c r="H45" s="8" t="s">
        <v>238</v>
      </c>
      <c r="I45" s="6" t="s">
        <v>52</v>
      </c>
      <c r="J45" s="6" t="s">
        <v>111</v>
      </c>
      <c r="K45" s="7" t="s">
        <v>40</v>
      </c>
      <c r="L45" s="7"/>
      <c r="M45" s="7" t="s">
        <v>165</v>
      </c>
      <c r="N45" s="7" t="s">
        <v>166</v>
      </c>
      <c r="O45" s="7"/>
    </row>
    <row r="46" customFormat="false" ht="26.85" hidden="false" customHeight="false" outlineLevel="0" collapsed="false">
      <c r="A46" s="6" t="s">
        <v>239</v>
      </c>
      <c r="B46" s="6" t="s">
        <v>232</v>
      </c>
      <c r="C46" s="7" t="s">
        <v>64</v>
      </c>
      <c r="D46" s="7" t="s">
        <v>75</v>
      </c>
      <c r="E46" s="7" t="n">
        <v>2013</v>
      </c>
      <c r="F46" s="6" t="s">
        <v>240</v>
      </c>
      <c r="G46" s="6" t="s">
        <v>241</v>
      </c>
      <c r="H46" s="8" t="s">
        <v>242</v>
      </c>
      <c r="I46" s="6" t="s">
        <v>52</v>
      </c>
      <c r="J46" s="6" t="s">
        <v>111</v>
      </c>
      <c r="K46" s="6" t="s">
        <v>164</v>
      </c>
      <c r="L46" s="7"/>
      <c r="M46" s="7" t="s">
        <v>165</v>
      </c>
      <c r="N46" s="7" t="s">
        <v>166</v>
      </c>
      <c r="O46" s="7"/>
    </row>
    <row r="47" customFormat="false" ht="26.85" hidden="false" customHeight="false" outlineLevel="0" collapsed="false">
      <c r="A47" s="6" t="s">
        <v>243</v>
      </c>
      <c r="B47" s="6" t="s">
        <v>232</v>
      </c>
      <c r="C47" s="7" t="s">
        <v>75</v>
      </c>
      <c r="D47" s="7" t="s">
        <v>84</v>
      </c>
      <c r="E47" s="7" t="n">
        <v>2013</v>
      </c>
      <c r="F47" s="6" t="s">
        <v>244</v>
      </c>
      <c r="G47" s="6" t="s">
        <v>245</v>
      </c>
      <c r="H47" s="8" t="s">
        <v>246</v>
      </c>
      <c r="I47" s="6" t="s">
        <v>52</v>
      </c>
      <c r="J47" s="6" t="s">
        <v>111</v>
      </c>
      <c r="K47" s="7" t="s">
        <v>247</v>
      </c>
      <c r="L47" s="7"/>
      <c r="M47" s="7" t="s">
        <v>165</v>
      </c>
      <c r="N47" s="7" t="s">
        <v>166</v>
      </c>
      <c r="O47" s="7"/>
    </row>
    <row r="48" customFormat="false" ht="26.85" hidden="false" customHeight="false" outlineLevel="0" collapsed="false">
      <c r="A48" s="6" t="s">
        <v>248</v>
      </c>
      <c r="B48" s="6" t="s">
        <v>232</v>
      </c>
      <c r="C48" s="7" t="s">
        <v>83</v>
      </c>
      <c r="D48" s="7" t="s">
        <v>65</v>
      </c>
      <c r="E48" s="7" t="n">
        <v>2015</v>
      </c>
      <c r="F48" s="6" t="s">
        <v>249</v>
      </c>
      <c r="G48" s="6" t="s">
        <v>250</v>
      </c>
      <c r="H48" s="8" t="s">
        <v>251</v>
      </c>
      <c r="I48" s="6" t="s">
        <v>52</v>
      </c>
      <c r="J48" s="6" t="s">
        <v>111</v>
      </c>
      <c r="K48" s="6" t="s">
        <v>164</v>
      </c>
      <c r="L48" s="7"/>
      <c r="M48" s="7" t="s">
        <v>165</v>
      </c>
      <c r="N48" s="7" t="s">
        <v>166</v>
      </c>
      <c r="O48" s="7"/>
    </row>
    <row r="49" customFormat="false" ht="23.85" hidden="false" customHeight="false" outlineLevel="0" collapsed="false">
      <c r="A49" s="6" t="s">
        <v>252</v>
      </c>
      <c r="B49" s="6" t="s">
        <v>232</v>
      </c>
      <c r="C49" s="7" t="s">
        <v>84</v>
      </c>
      <c r="D49" s="7" t="s">
        <v>34</v>
      </c>
      <c r="E49" s="7" t="n">
        <v>2015</v>
      </c>
      <c r="F49" s="6" t="s">
        <v>253</v>
      </c>
      <c r="G49" s="6" t="s">
        <v>254</v>
      </c>
      <c r="H49" s="8" t="s">
        <v>255</v>
      </c>
      <c r="I49" s="6" t="s">
        <v>52</v>
      </c>
      <c r="J49" s="6" t="s">
        <v>111</v>
      </c>
      <c r="K49" s="7" t="s">
        <v>40</v>
      </c>
      <c r="L49" s="7"/>
      <c r="M49" s="7" t="s">
        <v>225</v>
      </c>
      <c r="N49" s="6" t="s">
        <v>256</v>
      </c>
      <c r="O49" s="7"/>
    </row>
    <row r="50" customFormat="false" ht="26.85" hidden="false" customHeight="false" outlineLevel="0" collapsed="false">
      <c r="A50" s="6" t="s">
        <v>257</v>
      </c>
      <c r="B50" s="6" t="s">
        <v>232</v>
      </c>
      <c r="C50" s="7" t="s">
        <v>58</v>
      </c>
      <c r="D50" s="7" t="s">
        <v>74</v>
      </c>
      <c r="E50" s="7" t="n">
        <v>2015</v>
      </c>
      <c r="F50" s="6" t="s">
        <v>258</v>
      </c>
      <c r="G50" s="6" t="s">
        <v>259</v>
      </c>
      <c r="H50" s="8" t="s">
        <v>260</v>
      </c>
      <c r="I50" s="6" t="s">
        <v>52</v>
      </c>
      <c r="J50" s="6" t="s">
        <v>111</v>
      </c>
      <c r="K50" s="6" t="s">
        <v>164</v>
      </c>
      <c r="L50" s="7"/>
      <c r="M50" s="7" t="s">
        <v>165</v>
      </c>
      <c r="N50" s="7" t="s">
        <v>166</v>
      </c>
      <c r="O50" s="7"/>
    </row>
    <row r="51" customFormat="false" ht="26.85" hidden="false" customHeight="false" outlineLevel="0" collapsed="false">
      <c r="A51" s="6" t="s">
        <v>261</v>
      </c>
      <c r="B51" s="6" t="s">
        <v>232</v>
      </c>
      <c r="C51" s="7" t="s">
        <v>34</v>
      </c>
      <c r="D51" s="7" t="s">
        <v>58</v>
      </c>
      <c r="E51" s="7" t="n">
        <v>2016</v>
      </c>
      <c r="F51" s="6" t="s">
        <v>262</v>
      </c>
      <c r="G51" s="6" t="s">
        <v>162</v>
      </c>
      <c r="H51" s="8" t="s">
        <v>263</v>
      </c>
      <c r="I51" s="6" t="s">
        <v>52</v>
      </c>
      <c r="J51" s="6" t="s">
        <v>111</v>
      </c>
      <c r="K51" s="6" t="s">
        <v>164</v>
      </c>
      <c r="L51" s="7"/>
      <c r="M51" s="7" t="s">
        <v>165</v>
      </c>
      <c r="N51" s="7" t="s">
        <v>166</v>
      </c>
      <c r="O51" s="7"/>
    </row>
    <row r="52" customFormat="false" ht="26.85" hidden="false" customHeight="false" outlineLevel="0" collapsed="false">
      <c r="A52" s="6" t="s">
        <v>264</v>
      </c>
      <c r="B52" s="6" t="s">
        <v>265</v>
      </c>
      <c r="C52" s="7" t="s">
        <v>58</v>
      </c>
      <c r="D52" s="7" t="s">
        <v>74</v>
      </c>
      <c r="E52" s="7" t="n">
        <v>2011</v>
      </c>
      <c r="F52" s="6" t="s">
        <v>266</v>
      </c>
      <c r="G52" s="6" t="s">
        <v>267</v>
      </c>
      <c r="H52" s="8" t="s">
        <v>268</v>
      </c>
      <c r="I52" s="6" t="s">
        <v>52</v>
      </c>
      <c r="J52" s="6" t="s">
        <v>39</v>
      </c>
      <c r="K52" s="7" t="s">
        <v>40</v>
      </c>
      <c r="L52" s="7"/>
      <c r="M52" s="7" t="s">
        <v>165</v>
      </c>
      <c r="N52" s="7" t="s">
        <v>166</v>
      </c>
      <c r="O52" s="7"/>
    </row>
    <row r="53" customFormat="false" ht="26.85" hidden="false" customHeight="false" outlineLevel="0" collapsed="false">
      <c r="A53" s="6" t="s">
        <v>269</v>
      </c>
      <c r="B53" s="6" t="s">
        <v>265</v>
      </c>
      <c r="C53" s="7" t="s">
        <v>64</v>
      </c>
      <c r="D53" s="7" t="s">
        <v>75</v>
      </c>
      <c r="E53" s="7" t="n">
        <v>2016</v>
      </c>
      <c r="F53" s="6" t="s">
        <v>270</v>
      </c>
      <c r="G53" s="6" t="s">
        <v>245</v>
      </c>
      <c r="H53" s="8" t="s">
        <v>271</v>
      </c>
      <c r="I53" s="6" t="s">
        <v>52</v>
      </c>
      <c r="J53" s="6" t="s">
        <v>111</v>
      </c>
      <c r="K53" s="7" t="s">
        <v>40</v>
      </c>
      <c r="L53" s="7"/>
      <c r="M53" s="7" t="s">
        <v>165</v>
      </c>
      <c r="N53" s="7" t="s">
        <v>166</v>
      </c>
      <c r="O53" s="7"/>
    </row>
    <row r="54" customFormat="false" ht="26.85" hidden="false" customHeight="false" outlineLevel="0" collapsed="false">
      <c r="A54" s="6" t="s">
        <v>272</v>
      </c>
      <c r="B54" s="6" t="s">
        <v>265</v>
      </c>
      <c r="C54" s="7" t="s">
        <v>65</v>
      </c>
      <c r="D54" s="7" t="s">
        <v>83</v>
      </c>
      <c r="E54" s="7" t="n">
        <v>2020</v>
      </c>
      <c r="F54" s="6" t="s">
        <v>273</v>
      </c>
      <c r="G54" s="6" t="s">
        <v>198</v>
      </c>
      <c r="H54" s="8" t="s">
        <v>274</v>
      </c>
      <c r="I54" s="6" t="s">
        <v>52</v>
      </c>
      <c r="J54" s="6" t="s">
        <v>111</v>
      </c>
      <c r="K54" s="6" t="s">
        <v>164</v>
      </c>
      <c r="L54" s="7"/>
      <c r="M54" s="7" t="s">
        <v>165</v>
      </c>
      <c r="N54" s="7" t="s">
        <v>166</v>
      </c>
      <c r="O54" s="7"/>
    </row>
    <row r="55" customFormat="false" ht="26.85" hidden="false" customHeight="false" outlineLevel="0" collapsed="false">
      <c r="A55" s="6" t="s">
        <v>275</v>
      </c>
      <c r="B55" s="6" t="s">
        <v>265</v>
      </c>
      <c r="C55" s="7" t="s">
        <v>74</v>
      </c>
      <c r="D55" s="7" t="s">
        <v>64</v>
      </c>
      <c r="E55" s="7" t="n">
        <v>2021</v>
      </c>
      <c r="F55" s="6" t="s">
        <v>276</v>
      </c>
      <c r="G55" s="6" t="s">
        <v>277</v>
      </c>
      <c r="H55" s="8" t="s">
        <v>278</v>
      </c>
      <c r="I55" s="6" t="s">
        <v>52</v>
      </c>
      <c r="J55" s="6" t="s">
        <v>111</v>
      </c>
      <c r="K55" s="6" t="s">
        <v>164</v>
      </c>
      <c r="L55" s="7"/>
      <c r="M55" s="7" t="s">
        <v>165</v>
      </c>
      <c r="N55" s="7" t="s">
        <v>166</v>
      </c>
      <c r="O55" s="7"/>
    </row>
    <row r="56" customFormat="false" ht="26.85" hidden="false" customHeight="false" outlineLevel="0" collapsed="false">
      <c r="A56" s="6" t="s">
        <v>279</v>
      </c>
      <c r="B56" s="6" t="s">
        <v>265</v>
      </c>
      <c r="C56" s="7" t="s">
        <v>75</v>
      </c>
      <c r="D56" s="7" t="s">
        <v>84</v>
      </c>
      <c r="E56" s="7" t="n">
        <v>2024</v>
      </c>
      <c r="F56" s="6" t="s">
        <v>280</v>
      </c>
      <c r="G56" s="6" t="s">
        <v>281</v>
      </c>
      <c r="H56" s="8" t="s">
        <v>282</v>
      </c>
      <c r="I56" s="6" t="s">
        <v>52</v>
      </c>
      <c r="J56" s="6" t="s">
        <v>111</v>
      </c>
      <c r="K56" s="6" t="s">
        <v>216</v>
      </c>
      <c r="L56" s="7"/>
      <c r="M56" s="7" t="s">
        <v>165</v>
      </c>
      <c r="N56" s="7" t="s">
        <v>166</v>
      </c>
      <c r="O56" s="7"/>
    </row>
    <row r="57" customFormat="false" ht="26.85" hidden="false" customHeight="false" outlineLevel="0" collapsed="false">
      <c r="A57" s="6" t="s">
        <v>283</v>
      </c>
      <c r="B57" s="6" t="s">
        <v>265</v>
      </c>
      <c r="C57" s="7" t="s">
        <v>83</v>
      </c>
      <c r="D57" s="7" t="s">
        <v>65</v>
      </c>
      <c r="E57" s="7" t="n">
        <v>2026</v>
      </c>
      <c r="F57" s="6" t="s">
        <v>284</v>
      </c>
      <c r="G57" s="6" t="s">
        <v>285</v>
      </c>
      <c r="H57" s="8" t="s">
        <v>286</v>
      </c>
      <c r="I57" s="6" t="s">
        <v>52</v>
      </c>
      <c r="J57" s="6" t="s">
        <v>111</v>
      </c>
      <c r="K57" s="6" t="s">
        <v>216</v>
      </c>
      <c r="L57" s="7"/>
      <c r="M57" s="7" t="s">
        <v>165</v>
      </c>
      <c r="N57" s="7" t="s">
        <v>166</v>
      </c>
      <c r="O57" s="7"/>
    </row>
    <row r="58" customFormat="false" ht="26.85" hidden="false" customHeight="false" outlineLevel="0" collapsed="false">
      <c r="A58" s="6" t="s">
        <v>287</v>
      </c>
      <c r="B58" s="6" t="s">
        <v>265</v>
      </c>
      <c r="C58" s="7" t="s">
        <v>84</v>
      </c>
      <c r="D58" s="7" t="s">
        <v>34</v>
      </c>
      <c r="E58" s="7" t="n">
        <v>2002</v>
      </c>
      <c r="F58" s="6" t="s">
        <v>288</v>
      </c>
      <c r="G58" s="6" t="s">
        <v>162</v>
      </c>
      <c r="H58" s="8" t="s">
        <v>289</v>
      </c>
      <c r="I58" s="6" t="s">
        <v>52</v>
      </c>
      <c r="J58" s="6" t="s">
        <v>39</v>
      </c>
      <c r="K58" s="6" t="s">
        <v>164</v>
      </c>
      <c r="L58" s="7"/>
      <c r="M58" s="7" t="s">
        <v>165</v>
      </c>
      <c r="N58" s="7" t="s">
        <v>166</v>
      </c>
      <c r="O58" s="7"/>
    </row>
    <row r="59" customFormat="false" ht="26.85" hidden="false" customHeight="false" outlineLevel="0" collapsed="false">
      <c r="A59" s="6" t="s">
        <v>290</v>
      </c>
      <c r="B59" s="6" t="s">
        <v>265</v>
      </c>
      <c r="C59" s="7" t="s">
        <v>34</v>
      </c>
      <c r="D59" s="7" t="s">
        <v>58</v>
      </c>
      <c r="E59" s="7" t="n">
        <v>2013</v>
      </c>
      <c r="F59" s="6" t="s">
        <v>291</v>
      </c>
      <c r="G59" s="6" t="s">
        <v>237</v>
      </c>
      <c r="H59" s="8" t="s">
        <v>292</v>
      </c>
      <c r="I59" s="6" t="s">
        <v>52</v>
      </c>
      <c r="J59" s="6" t="s">
        <v>39</v>
      </c>
      <c r="K59" s="7" t="s">
        <v>40</v>
      </c>
      <c r="L59" s="7"/>
      <c r="M59" s="7" t="s">
        <v>165</v>
      </c>
      <c r="N59" s="7" t="s">
        <v>166</v>
      </c>
      <c r="O59" s="7"/>
    </row>
    <row r="60" customFormat="false" ht="26.85" hidden="false" customHeight="false" outlineLevel="0" collapsed="false">
      <c r="A60" s="6" t="s">
        <v>293</v>
      </c>
      <c r="B60" s="6" t="s">
        <v>294</v>
      </c>
      <c r="C60" s="7" t="s">
        <v>65</v>
      </c>
      <c r="D60" s="7" t="s">
        <v>84</v>
      </c>
      <c r="E60" s="7" t="n">
        <v>2019</v>
      </c>
      <c r="F60" s="6" t="s">
        <v>295</v>
      </c>
      <c r="G60" s="6" t="s">
        <v>296</v>
      </c>
      <c r="H60" s="8" t="s">
        <v>297</v>
      </c>
      <c r="I60" s="6" t="s">
        <v>52</v>
      </c>
      <c r="J60" s="6" t="s">
        <v>39</v>
      </c>
      <c r="K60" s="6" t="s">
        <v>216</v>
      </c>
      <c r="L60" s="7"/>
      <c r="M60" s="7" t="s">
        <v>165</v>
      </c>
      <c r="N60" s="7" t="s">
        <v>166</v>
      </c>
      <c r="O60" s="7"/>
    </row>
    <row r="61" customFormat="false" ht="26.85" hidden="false" customHeight="false" outlineLevel="0" collapsed="false">
      <c r="A61" s="6" t="s">
        <v>298</v>
      </c>
      <c r="B61" s="6" t="s">
        <v>294</v>
      </c>
      <c r="C61" s="7" t="s">
        <v>74</v>
      </c>
      <c r="D61" s="7" t="s">
        <v>64</v>
      </c>
      <c r="E61" s="7" t="n">
        <v>2021</v>
      </c>
      <c r="F61" s="6" t="s">
        <v>299</v>
      </c>
      <c r="G61" s="6" t="s">
        <v>300</v>
      </c>
      <c r="H61" s="8" t="s">
        <v>301</v>
      </c>
      <c r="I61" s="6" t="s">
        <v>52</v>
      </c>
      <c r="J61" s="6" t="s">
        <v>39</v>
      </c>
      <c r="K61" s="7" t="s">
        <v>40</v>
      </c>
      <c r="L61" s="7"/>
      <c r="M61" s="7" t="s">
        <v>165</v>
      </c>
      <c r="N61" s="7" t="s">
        <v>166</v>
      </c>
      <c r="O61" s="7"/>
    </row>
    <row r="62" customFormat="false" ht="26.85" hidden="false" customHeight="false" outlineLevel="0" collapsed="false">
      <c r="A62" s="6" t="s">
        <v>302</v>
      </c>
      <c r="B62" s="6" t="s">
        <v>294</v>
      </c>
      <c r="C62" s="7" t="s">
        <v>83</v>
      </c>
      <c r="D62" s="7" t="s">
        <v>34</v>
      </c>
      <c r="E62" s="7" t="n">
        <v>2025</v>
      </c>
      <c r="F62" s="6" t="s">
        <v>303</v>
      </c>
      <c r="G62" s="6" t="s">
        <v>254</v>
      </c>
      <c r="H62" s="8" t="s">
        <v>304</v>
      </c>
      <c r="I62" s="6" t="s">
        <v>52</v>
      </c>
      <c r="J62" s="6" t="s">
        <v>39</v>
      </c>
      <c r="K62" s="7" t="s">
        <v>40</v>
      </c>
      <c r="L62" s="7"/>
      <c r="M62" s="7" t="s">
        <v>165</v>
      </c>
      <c r="N62" s="7" t="s">
        <v>166</v>
      </c>
      <c r="O62" s="7"/>
    </row>
    <row r="63" customFormat="false" ht="35.05" hidden="false" customHeight="false" outlineLevel="0" collapsed="false">
      <c r="A63" s="6" t="s">
        <v>305</v>
      </c>
      <c r="B63" s="6" t="s">
        <v>294</v>
      </c>
      <c r="C63" s="7" t="s">
        <v>84</v>
      </c>
      <c r="D63" s="7" t="s">
        <v>65</v>
      </c>
      <c r="E63" s="7" t="n">
        <v>2026</v>
      </c>
      <c r="F63" s="6" t="s">
        <v>306</v>
      </c>
      <c r="G63" s="6" t="s">
        <v>307</v>
      </c>
      <c r="H63" s="8" t="s">
        <v>308</v>
      </c>
      <c r="I63" s="6" t="s">
        <v>52</v>
      </c>
      <c r="J63" s="6" t="s">
        <v>39</v>
      </c>
      <c r="K63" s="7" t="s">
        <v>40</v>
      </c>
      <c r="L63" s="7"/>
      <c r="M63" s="7" t="s">
        <v>225</v>
      </c>
      <c r="N63" s="6" t="s">
        <v>309</v>
      </c>
      <c r="O63" s="7"/>
    </row>
    <row r="64" customFormat="false" ht="26.85" hidden="false" customHeight="false" outlineLevel="0" collapsed="false">
      <c r="A64" s="6" t="s">
        <v>310</v>
      </c>
      <c r="B64" s="6" t="s">
        <v>294</v>
      </c>
      <c r="C64" s="7" t="s">
        <v>58</v>
      </c>
      <c r="D64" s="7" t="s">
        <v>75</v>
      </c>
      <c r="E64" s="7" t="n">
        <v>2009</v>
      </c>
      <c r="F64" s="6" t="s">
        <v>311</v>
      </c>
      <c r="G64" s="6" t="s">
        <v>307</v>
      </c>
      <c r="H64" s="8" t="s">
        <v>312</v>
      </c>
      <c r="I64" s="6" t="s">
        <v>62</v>
      </c>
      <c r="J64" s="6" t="s">
        <v>53</v>
      </c>
      <c r="K64" s="7" t="s">
        <v>40</v>
      </c>
      <c r="L64" s="7"/>
      <c r="M64" s="7" t="s">
        <v>165</v>
      </c>
      <c r="N64" s="7" t="s">
        <v>166</v>
      </c>
      <c r="O64" s="7"/>
    </row>
    <row r="65" customFormat="false" ht="26.85" hidden="false" customHeight="false" outlineLevel="0" collapsed="false">
      <c r="A65" s="6" t="s">
        <v>313</v>
      </c>
      <c r="B65" s="6" t="s">
        <v>294</v>
      </c>
      <c r="C65" s="7" t="s">
        <v>34</v>
      </c>
      <c r="D65" s="7" t="s">
        <v>83</v>
      </c>
      <c r="E65" s="7" t="n">
        <v>2013</v>
      </c>
      <c r="F65" s="6" t="s">
        <v>314</v>
      </c>
      <c r="G65" s="6" t="s">
        <v>219</v>
      </c>
      <c r="H65" s="8" t="s">
        <v>315</v>
      </c>
      <c r="I65" s="6" t="s">
        <v>62</v>
      </c>
      <c r="J65" s="6" t="s">
        <v>53</v>
      </c>
      <c r="K65" s="7" t="s">
        <v>40</v>
      </c>
      <c r="L65" s="7"/>
      <c r="M65" s="7" t="s">
        <v>165</v>
      </c>
      <c r="N65" s="7" t="s">
        <v>166</v>
      </c>
      <c r="O65" s="7"/>
    </row>
    <row r="66" customFormat="false" ht="26.85" hidden="false" customHeight="false" outlineLevel="0" collapsed="false">
      <c r="A66" s="6" t="s">
        <v>316</v>
      </c>
      <c r="B66" s="6" t="s">
        <v>294</v>
      </c>
      <c r="C66" s="7" t="s">
        <v>64</v>
      </c>
      <c r="D66" s="7" t="s">
        <v>74</v>
      </c>
      <c r="E66" s="7" t="n">
        <v>2016</v>
      </c>
      <c r="F66" s="6" t="s">
        <v>317</v>
      </c>
      <c r="G66" s="6" t="s">
        <v>250</v>
      </c>
      <c r="H66" s="8" t="s">
        <v>318</v>
      </c>
      <c r="I66" s="6" t="s">
        <v>52</v>
      </c>
      <c r="J66" s="6" t="s">
        <v>39</v>
      </c>
      <c r="K66" s="6" t="s">
        <v>164</v>
      </c>
      <c r="L66" s="7"/>
      <c r="M66" s="7" t="s">
        <v>165</v>
      </c>
      <c r="N66" s="7" t="s">
        <v>166</v>
      </c>
      <c r="O66" s="7"/>
    </row>
    <row r="67" customFormat="false" ht="23.85" hidden="false" customHeight="false" outlineLevel="0" collapsed="false">
      <c r="A67" s="6" t="s">
        <v>319</v>
      </c>
      <c r="B67" s="6" t="s">
        <v>294</v>
      </c>
      <c r="C67" s="7" t="s">
        <v>75</v>
      </c>
      <c r="D67" s="7" t="s">
        <v>58</v>
      </c>
      <c r="E67" s="7" t="n">
        <v>2022</v>
      </c>
      <c r="F67" s="6" t="s">
        <v>320</v>
      </c>
      <c r="G67" s="6" t="s">
        <v>321</v>
      </c>
      <c r="H67" s="8" t="s">
        <v>322</v>
      </c>
      <c r="I67" s="6" t="s">
        <v>52</v>
      </c>
      <c r="J67" s="6" t="s">
        <v>39</v>
      </c>
      <c r="K67" s="6" t="s">
        <v>216</v>
      </c>
      <c r="L67" s="7"/>
      <c r="M67" s="7" t="s">
        <v>225</v>
      </c>
      <c r="N67" s="6" t="s">
        <v>323</v>
      </c>
      <c r="O67" s="7"/>
    </row>
    <row r="68" customFormat="false" ht="26.85" hidden="false" customHeight="false" outlineLevel="0" collapsed="false">
      <c r="A68" s="6" t="s">
        <v>324</v>
      </c>
      <c r="B68" s="6" t="s">
        <v>325</v>
      </c>
      <c r="C68" s="7" t="s">
        <v>84</v>
      </c>
      <c r="D68" s="7" t="s">
        <v>65</v>
      </c>
      <c r="E68" s="7" t="n">
        <v>2011</v>
      </c>
      <c r="F68" s="6" t="s">
        <v>326</v>
      </c>
      <c r="G68" s="6" t="s">
        <v>245</v>
      </c>
      <c r="H68" s="8" t="s">
        <v>327</v>
      </c>
      <c r="I68" s="6" t="s">
        <v>62</v>
      </c>
      <c r="J68" s="6" t="s">
        <v>111</v>
      </c>
      <c r="K68" s="7" t="s">
        <v>247</v>
      </c>
      <c r="L68" s="7"/>
      <c r="M68" s="7" t="s">
        <v>165</v>
      </c>
      <c r="N68" s="7" t="s">
        <v>166</v>
      </c>
      <c r="O68" s="7"/>
    </row>
    <row r="69" customFormat="false" ht="23.85" hidden="false" customHeight="false" outlineLevel="0" collapsed="false">
      <c r="A69" s="6" t="s">
        <v>328</v>
      </c>
      <c r="B69" s="6" t="s">
        <v>325</v>
      </c>
      <c r="C69" s="7" t="s">
        <v>58</v>
      </c>
      <c r="D69" s="7" t="s">
        <v>75</v>
      </c>
      <c r="E69" s="7" t="n">
        <v>2015</v>
      </c>
      <c r="F69" s="6" t="s">
        <v>329</v>
      </c>
      <c r="G69" s="6" t="s">
        <v>330</v>
      </c>
      <c r="H69" s="8" t="s">
        <v>331</v>
      </c>
      <c r="I69" s="6" t="s">
        <v>62</v>
      </c>
      <c r="J69" s="6" t="s">
        <v>111</v>
      </c>
      <c r="K69" s="7" t="s">
        <v>40</v>
      </c>
      <c r="L69" s="7"/>
      <c r="M69" s="7" t="s">
        <v>42</v>
      </c>
      <c r="N69" s="6" t="s">
        <v>332</v>
      </c>
      <c r="O69" s="7"/>
    </row>
    <row r="70" customFormat="false" ht="26.85" hidden="false" customHeight="false" outlineLevel="0" collapsed="false">
      <c r="A70" s="6" t="s">
        <v>333</v>
      </c>
      <c r="B70" s="6" t="s">
        <v>325</v>
      </c>
      <c r="C70" s="7" t="s">
        <v>34</v>
      </c>
      <c r="D70" s="7" t="s">
        <v>83</v>
      </c>
      <c r="E70" s="7" t="n">
        <v>2016</v>
      </c>
      <c r="F70" s="6" t="s">
        <v>334</v>
      </c>
      <c r="G70" s="6" t="s">
        <v>335</v>
      </c>
      <c r="H70" s="8" t="s">
        <v>336</v>
      </c>
      <c r="I70" s="6" t="s">
        <v>62</v>
      </c>
      <c r="J70" s="6" t="s">
        <v>111</v>
      </c>
      <c r="K70" s="7" t="s">
        <v>247</v>
      </c>
      <c r="L70" s="7"/>
      <c r="M70" s="7" t="s">
        <v>165</v>
      </c>
      <c r="N70" s="7" t="s">
        <v>166</v>
      </c>
      <c r="O70" s="7"/>
    </row>
    <row r="71" customFormat="false" ht="26.85" hidden="false" customHeight="false" outlineLevel="0" collapsed="false">
      <c r="A71" s="6" t="s">
        <v>337</v>
      </c>
      <c r="B71" s="6" t="s">
        <v>325</v>
      </c>
      <c r="C71" s="7" t="s">
        <v>64</v>
      </c>
      <c r="D71" s="7" t="s">
        <v>74</v>
      </c>
      <c r="E71" s="7" t="n">
        <v>2017</v>
      </c>
      <c r="F71" s="6" t="s">
        <v>338</v>
      </c>
      <c r="G71" s="6" t="s">
        <v>339</v>
      </c>
      <c r="H71" s="8" t="s">
        <v>340</v>
      </c>
      <c r="I71" s="6" t="s">
        <v>62</v>
      </c>
      <c r="J71" s="6" t="s">
        <v>53</v>
      </c>
      <c r="K71" s="6" t="s">
        <v>164</v>
      </c>
      <c r="L71" s="7"/>
      <c r="M71" s="7" t="s">
        <v>165</v>
      </c>
      <c r="N71" s="7" t="s">
        <v>166</v>
      </c>
      <c r="O71" s="7"/>
    </row>
    <row r="72" customFormat="false" ht="26.85" hidden="false" customHeight="false" outlineLevel="0" collapsed="false">
      <c r="A72" s="6" t="s">
        <v>341</v>
      </c>
      <c r="B72" s="6" t="s">
        <v>325</v>
      </c>
      <c r="C72" s="7" t="s">
        <v>65</v>
      </c>
      <c r="D72" s="7" t="s">
        <v>84</v>
      </c>
      <c r="E72" s="7" t="n">
        <v>2020</v>
      </c>
      <c r="F72" s="6" t="s">
        <v>342</v>
      </c>
      <c r="G72" s="6" t="s">
        <v>296</v>
      </c>
      <c r="H72" s="8" t="s">
        <v>343</v>
      </c>
      <c r="I72" s="6" t="s">
        <v>62</v>
      </c>
      <c r="J72" s="6" t="s">
        <v>53</v>
      </c>
      <c r="K72" s="7" t="s">
        <v>40</v>
      </c>
      <c r="L72" s="7"/>
      <c r="M72" s="7" t="s">
        <v>165</v>
      </c>
      <c r="N72" s="7" t="s">
        <v>166</v>
      </c>
      <c r="O72" s="7"/>
    </row>
    <row r="73" customFormat="false" ht="15" hidden="false" customHeight="false" outlineLevel="0" collapsed="false">
      <c r="A73" s="6" t="s">
        <v>344</v>
      </c>
      <c r="B73" s="6" t="s">
        <v>325</v>
      </c>
      <c r="C73" s="7" t="s">
        <v>75</v>
      </c>
      <c r="D73" s="7" t="s">
        <v>58</v>
      </c>
      <c r="E73" s="7" t="n">
        <v>2022</v>
      </c>
      <c r="F73" s="6" t="s">
        <v>345</v>
      </c>
      <c r="G73" s="6" t="s">
        <v>346</v>
      </c>
      <c r="H73" s="8" t="s">
        <v>347</v>
      </c>
      <c r="I73" s="6" t="s">
        <v>62</v>
      </c>
      <c r="J73" s="6" t="s">
        <v>53</v>
      </c>
      <c r="K73" s="7" t="s">
        <v>40</v>
      </c>
      <c r="L73" s="7"/>
      <c r="M73" s="7" t="s">
        <v>42</v>
      </c>
      <c r="N73" s="6" t="s">
        <v>348</v>
      </c>
      <c r="O73" s="7"/>
    </row>
    <row r="74" customFormat="false" ht="15" hidden="false" customHeight="false" outlineLevel="0" collapsed="false">
      <c r="A74" s="6" t="s">
        <v>349</v>
      </c>
      <c r="B74" s="6" t="s">
        <v>325</v>
      </c>
      <c r="C74" s="7" t="s">
        <v>83</v>
      </c>
      <c r="D74" s="7" t="s">
        <v>34</v>
      </c>
      <c r="E74" s="7" t="n">
        <v>2023</v>
      </c>
      <c r="F74" s="6" t="s">
        <v>350</v>
      </c>
      <c r="G74" s="6" t="s">
        <v>296</v>
      </c>
      <c r="H74" s="8" t="s">
        <v>351</v>
      </c>
      <c r="I74" s="6" t="s">
        <v>62</v>
      </c>
      <c r="J74" s="6" t="s">
        <v>53</v>
      </c>
      <c r="K74" s="7" t="s">
        <v>40</v>
      </c>
      <c r="L74" s="7"/>
      <c r="M74" s="7" t="s">
        <v>225</v>
      </c>
      <c r="N74" s="6" t="s">
        <v>352</v>
      </c>
      <c r="O74" s="7"/>
    </row>
    <row r="75" customFormat="false" ht="26.85" hidden="false" customHeight="false" outlineLevel="0" collapsed="false">
      <c r="A75" s="6" t="s">
        <v>353</v>
      </c>
      <c r="B75" s="6" t="s">
        <v>325</v>
      </c>
      <c r="C75" s="7" t="s">
        <v>74</v>
      </c>
      <c r="D75" s="7" t="s">
        <v>64</v>
      </c>
      <c r="E75" s="7" t="n">
        <v>2021</v>
      </c>
      <c r="F75" s="6" t="s">
        <v>354</v>
      </c>
      <c r="G75" s="6" t="s">
        <v>250</v>
      </c>
      <c r="H75" s="8" t="s">
        <v>355</v>
      </c>
      <c r="I75" s="6" t="s">
        <v>62</v>
      </c>
      <c r="J75" s="6" t="s">
        <v>53</v>
      </c>
      <c r="K75" s="6" t="s">
        <v>164</v>
      </c>
      <c r="L75" s="7"/>
      <c r="M75" s="7" t="s">
        <v>165</v>
      </c>
      <c r="N75" s="7" t="s">
        <v>166</v>
      </c>
      <c r="O75" s="7"/>
    </row>
    <row r="76" customFormat="false" ht="26.85" hidden="false" customHeight="false" outlineLevel="0" collapsed="false">
      <c r="A76" s="6" t="s">
        <v>356</v>
      </c>
      <c r="B76" s="6" t="s">
        <v>357</v>
      </c>
      <c r="C76" s="7" t="s">
        <v>83</v>
      </c>
      <c r="D76" s="7" t="s">
        <v>34</v>
      </c>
      <c r="E76" s="7" t="n">
        <v>1987</v>
      </c>
      <c r="F76" s="6" t="s">
        <v>358</v>
      </c>
      <c r="G76" s="6" t="s">
        <v>162</v>
      </c>
      <c r="H76" s="8" t="s">
        <v>359</v>
      </c>
      <c r="I76" s="6" t="s">
        <v>189</v>
      </c>
      <c r="J76" s="6" t="s">
        <v>53</v>
      </c>
      <c r="K76" s="6" t="s">
        <v>164</v>
      </c>
      <c r="L76" s="7"/>
      <c r="M76" s="7" t="s">
        <v>165</v>
      </c>
      <c r="N76" s="7" t="s">
        <v>166</v>
      </c>
      <c r="O76" s="7"/>
    </row>
    <row r="77" customFormat="false" ht="26.85" hidden="false" customHeight="false" outlineLevel="0" collapsed="false">
      <c r="A77" s="6" t="s">
        <v>360</v>
      </c>
      <c r="B77" s="6" t="s">
        <v>357</v>
      </c>
      <c r="C77" s="7" t="s">
        <v>64</v>
      </c>
      <c r="D77" s="7" t="s">
        <v>74</v>
      </c>
      <c r="E77" s="7" t="n">
        <v>2004</v>
      </c>
      <c r="F77" s="6" t="s">
        <v>361</v>
      </c>
      <c r="G77" s="6" t="s">
        <v>229</v>
      </c>
      <c r="H77" s="8" t="s">
        <v>362</v>
      </c>
      <c r="I77" s="6" t="s">
        <v>62</v>
      </c>
      <c r="J77" s="6" t="s">
        <v>39</v>
      </c>
      <c r="K77" s="7" t="s">
        <v>40</v>
      </c>
      <c r="L77" s="7"/>
      <c r="M77" s="7" t="s">
        <v>165</v>
      </c>
      <c r="N77" s="7" t="s">
        <v>166</v>
      </c>
      <c r="O77" s="7"/>
    </row>
    <row r="78" customFormat="false" ht="26.85" hidden="false" customHeight="false" outlineLevel="0" collapsed="false">
      <c r="A78" s="6" t="s">
        <v>363</v>
      </c>
      <c r="B78" s="6" t="s">
        <v>357</v>
      </c>
      <c r="C78" s="7" t="s">
        <v>74</v>
      </c>
      <c r="D78" s="7" t="s">
        <v>64</v>
      </c>
      <c r="E78" s="7" t="n">
        <v>2019</v>
      </c>
      <c r="F78" s="6" t="s">
        <v>364</v>
      </c>
      <c r="G78" s="6" t="s">
        <v>365</v>
      </c>
      <c r="H78" s="8" t="s">
        <v>366</v>
      </c>
      <c r="I78" s="6" t="s">
        <v>62</v>
      </c>
      <c r="J78" s="6" t="s">
        <v>39</v>
      </c>
      <c r="K78" s="7" t="s">
        <v>40</v>
      </c>
      <c r="L78" s="7"/>
      <c r="M78" s="7" t="s">
        <v>165</v>
      </c>
      <c r="N78" s="7" t="s">
        <v>166</v>
      </c>
      <c r="O78" s="7"/>
    </row>
    <row r="79" customFormat="false" ht="26.85" hidden="false" customHeight="false" outlineLevel="0" collapsed="false">
      <c r="A79" s="6" t="s">
        <v>367</v>
      </c>
      <c r="B79" s="6" t="s">
        <v>357</v>
      </c>
      <c r="C79" s="7" t="s">
        <v>75</v>
      </c>
      <c r="D79" s="7" t="s">
        <v>58</v>
      </c>
      <c r="E79" s="7" t="n">
        <v>2025</v>
      </c>
      <c r="F79" s="6" t="s">
        <v>368</v>
      </c>
      <c r="G79" s="6" t="s">
        <v>162</v>
      </c>
      <c r="H79" s="8" t="s">
        <v>369</v>
      </c>
      <c r="I79" s="6" t="s">
        <v>62</v>
      </c>
      <c r="J79" s="6" t="s">
        <v>39</v>
      </c>
      <c r="K79" s="6" t="s">
        <v>164</v>
      </c>
      <c r="L79" s="7"/>
      <c r="M79" s="7" t="s">
        <v>165</v>
      </c>
      <c r="N79" s="7" t="s">
        <v>166</v>
      </c>
      <c r="O79" s="7"/>
    </row>
    <row r="80" customFormat="false" ht="26.85" hidden="false" customHeight="false" outlineLevel="0" collapsed="false">
      <c r="A80" s="6" t="s">
        <v>370</v>
      </c>
      <c r="B80" s="6" t="s">
        <v>357</v>
      </c>
      <c r="C80" s="7" t="s">
        <v>65</v>
      </c>
      <c r="D80" s="7" t="s">
        <v>84</v>
      </c>
      <c r="E80" s="7" t="n">
        <v>2004</v>
      </c>
      <c r="F80" s="6" t="s">
        <v>371</v>
      </c>
      <c r="G80" s="6" t="s">
        <v>162</v>
      </c>
      <c r="H80" s="8" t="s">
        <v>372</v>
      </c>
      <c r="I80" s="6" t="s">
        <v>62</v>
      </c>
      <c r="J80" s="6" t="s">
        <v>39</v>
      </c>
      <c r="K80" s="6" t="s">
        <v>164</v>
      </c>
      <c r="L80" s="7"/>
      <c r="M80" s="7" t="s">
        <v>165</v>
      </c>
      <c r="N80" s="7" t="s">
        <v>166</v>
      </c>
      <c r="O80" s="7"/>
    </row>
    <row r="81" customFormat="false" ht="26.85" hidden="false" customHeight="false" outlineLevel="0" collapsed="false">
      <c r="A81" s="6" t="s">
        <v>373</v>
      </c>
      <c r="B81" s="6" t="s">
        <v>357</v>
      </c>
      <c r="C81" s="7" t="s">
        <v>84</v>
      </c>
      <c r="D81" s="7" t="s">
        <v>65</v>
      </c>
      <c r="E81" s="7" t="n">
        <v>2005</v>
      </c>
      <c r="F81" s="6" t="s">
        <v>374</v>
      </c>
      <c r="G81" s="6" t="s">
        <v>375</v>
      </c>
      <c r="H81" s="8" t="s">
        <v>376</v>
      </c>
      <c r="I81" s="6" t="s">
        <v>189</v>
      </c>
      <c r="J81" s="6" t="s">
        <v>53</v>
      </c>
      <c r="K81" s="7" t="s">
        <v>40</v>
      </c>
      <c r="L81" s="7"/>
      <c r="M81" s="7" t="s">
        <v>165</v>
      </c>
      <c r="N81" s="7" t="s">
        <v>166</v>
      </c>
      <c r="O81" s="7"/>
    </row>
    <row r="82" customFormat="false" ht="26.85" hidden="false" customHeight="false" outlineLevel="0" collapsed="false">
      <c r="A82" s="6" t="s">
        <v>377</v>
      </c>
      <c r="B82" s="6" t="s">
        <v>357</v>
      </c>
      <c r="C82" s="7" t="s">
        <v>58</v>
      </c>
      <c r="D82" s="7" t="s">
        <v>75</v>
      </c>
      <c r="E82" s="7" t="n">
        <v>2013</v>
      </c>
      <c r="F82" s="6" t="s">
        <v>378</v>
      </c>
      <c r="G82" s="6" t="s">
        <v>162</v>
      </c>
      <c r="H82" s="8" t="s">
        <v>379</v>
      </c>
      <c r="I82" s="6" t="s">
        <v>189</v>
      </c>
      <c r="J82" s="6" t="s">
        <v>53</v>
      </c>
      <c r="K82" s="6" t="s">
        <v>164</v>
      </c>
      <c r="L82" s="7"/>
      <c r="M82" s="7" t="s">
        <v>165</v>
      </c>
      <c r="N82" s="7" t="s">
        <v>166</v>
      </c>
      <c r="O82" s="7"/>
    </row>
    <row r="83" customFormat="false" ht="35.05" hidden="false" customHeight="false" outlineLevel="0" collapsed="false">
      <c r="A83" s="6" t="s">
        <v>380</v>
      </c>
      <c r="B83" s="6" t="s">
        <v>357</v>
      </c>
      <c r="C83" s="7" t="s">
        <v>34</v>
      </c>
      <c r="D83" s="7" t="s">
        <v>83</v>
      </c>
      <c r="E83" s="7" t="n">
        <v>2018</v>
      </c>
      <c r="F83" s="6" t="s">
        <v>381</v>
      </c>
      <c r="G83" s="6" t="s">
        <v>382</v>
      </c>
      <c r="H83" s="8" t="s">
        <v>383</v>
      </c>
      <c r="I83" s="6" t="s">
        <v>189</v>
      </c>
      <c r="J83" s="6" t="s">
        <v>53</v>
      </c>
      <c r="K83" s="7" t="s">
        <v>40</v>
      </c>
      <c r="L83" s="7"/>
      <c r="M83" s="7" t="s">
        <v>225</v>
      </c>
      <c r="N83" s="6" t="s">
        <v>384</v>
      </c>
      <c r="O83" s="7"/>
    </row>
    <row r="84" customFormat="false" ht="26.85" hidden="false" customHeight="false" outlineLevel="0" collapsed="false">
      <c r="A84" s="6" t="s">
        <v>385</v>
      </c>
      <c r="B84" s="6" t="s">
        <v>386</v>
      </c>
      <c r="C84" s="7" t="s">
        <v>64</v>
      </c>
      <c r="D84" s="7" t="s">
        <v>74</v>
      </c>
      <c r="E84" s="7" t="n">
        <v>2019</v>
      </c>
      <c r="F84" s="6" t="s">
        <v>387</v>
      </c>
      <c r="G84" s="6" t="s">
        <v>210</v>
      </c>
      <c r="H84" s="8" t="s">
        <v>388</v>
      </c>
      <c r="I84" s="6" t="s">
        <v>189</v>
      </c>
      <c r="J84" s="6" t="s">
        <v>53</v>
      </c>
      <c r="K84" s="6" t="s">
        <v>164</v>
      </c>
      <c r="L84" s="7"/>
      <c r="M84" s="7" t="s">
        <v>165</v>
      </c>
      <c r="N84" s="7" t="s">
        <v>166</v>
      </c>
      <c r="O84" s="7"/>
    </row>
    <row r="85" customFormat="false" ht="26.85" hidden="false" customHeight="false" outlineLevel="0" collapsed="false">
      <c r="A85" s="6" t="s">
        <v>389</v>
      </c>
      <c r="B85" s="6" t="s">
        <v>386</v>
      </c>
      <c r="C85" s="7" t="s">
        <v>75</v>
      </c>
      <c r="D85" s="7" t="s">
        <v>58</v>
      </c>
      <c r="E85" s="7" t="n">
        <v>2012</v>
      </c>
      <c r="F85" s="6" t="s">
        <v>390</v>
      </c>
      <c r="G85" s="6" t="s">
        <v>210</v>
      </c>
      <c r="H85" s="8" t="s">
        <v>391</v>
      </c>
      <c r="I85" s="6" t="s">
        <v>189</v>
      </c>
      <c r="J85" s="6" t="s">
        <v>39</v>
      </c>
      <c r="K85" s="6" t="s">
        <v>164</v>
      </c>
      <c r="L85" s="7"/>
      <c r="M85" s="7" t="s">
        <v>165</v>
      </c>
      <c r="N85" s="7" t="s">
        <v>166</v>
      </c>
      <c r="O85" s="7"/>
    </row>
    <row r="86" customFormat="false" ht="26.85" hidden="false" customHeight="false" outlineLevel="0" collapsed="false">
      <c r="A86" s="6" t="s">
        <v>392</v>
      </c>
      <c r="B86" s="6" t="s">
        <v>386</v>
      </c>
      <c r="C86" s="7" t="s">
        <v>83</v>
      </c>
      <c r="D86" s="7" t="s">
        <v>34</v>
      </c>
      <c r="E86" s="7" t="n">
        <v>2015</v>
      </c>
      <c r="F86" s="6" t="s">
        <v>393</v>
      </c>
      <c r="G86" s="6" t="s">
        <v>162</v>
      </c>
      <c r="H86" s="8" t="s">
        <v>394</v>
      </c>
      <c r="I86" s="6" t="s">
        <v>189</v>
      </c>
      <c r="J86" s="6" t="s">
        <v>39</v>
      </c>
      <c r="K86" s="6" t="s">
        <v>164</v>
      </c>
      <c r="L86" s="7"/>
      <c r="M86" s="7" t="s">
        <v>165</v>
      </c>
      <c r="N86" s="7" t="s">
        <v>166</v>
      </c>
      <c r="O86" s="7"/>
    </row>
    <row r="87" customFormat="false" ht="26.85" hidden="false" customHeight="false" outlineLevel="0" collapsed="false">
      <c r="A87" s="6" t="s">
        <v>395</v>
      </c>
      <c r="B87" s="6" t="s">
        <v>386</v>
      </c>
      <c r="C87" s="7" t="s">
        <v>84</v>
      </c>
      <c r="D87" s="7" t="s">
        <v>65</v>
      </c>
      <c r="E87" s="7" t="n">
        <v>2015</v>
      </c>
      <c r="F87" s="6" t="s">
        <v>396</v>
      </c>
      <c r="G87" s="6" t="s">
        <v>397</v>
      </c>
      <c r="H87" s="8" t="s">
        <v>398</v>
      </c>
      <c r="I87" s="6" t="s">
        <v>189</v>
      </c>
      <c r="J87" s="6" t="s">
        <v>39</v>
      </c>
      <c r="K87" s="7" t="s">
        <v>40</v>
      </c>
      <c r="L87" s="7"/>
      <c r="M87" s="7" t="s">
        <v>165</v>
      </c>
      <c r="N87" s="7" t="s">
        <v>166</v>
      </c>
      <c r="O87" s="7"/>
    </row>
    <row r="88" customFormat="false" ht="26.85" hidden="false" customHeight="false" outlineLevel="0" collapsed="false">
      <c r="A88" s="6" t="s">
        <v>399</v>
      </c>
      <c r="B88" s="6" t="s">
        <v>386</v>
      </c>
      <c r="C88" s="7" t="s">
        <v>58</v>
      </c>
      <c r="D88" s="7" t="s">
        <v>75</v>
      </c>
      <c r="E88" s="7" t="n">
        <v>2016</v>
      </c>
      <c r="F88" s="6" t="s">
        <v>400</v>
      </c>
      <c r="G88" s="6" t="s">
        <v>401</v>
      </c>
      <c r="H88" s="8" t="s">
        <v>402</v>
      </c>
      <c r="I88" s="6" t="s">
        <v>189</v>
      </c>
      <c r="J88" s="6" t="s">
        <v>39</v>
      </c>
      <c r="K88" s="7" t="s">
        <v>40</v>
      </c>
      <c r="L88" s="7"/>
      <c r="M88" s="7" t="s">
        <v>165</v>
      </c>
      <c r="N88" s="7" t="s">
        <v>166</v>
      </c>
      <c r="O88" s="7"/>
    </row>
    <row r="89" customFormat="false" ht="23.85" hidden="false" customHeight="false" outlineLevel="0" collapsed="false">
      <c r="A89" s="6" t="s">
        <v>403</v>
      </c>
      <c r="B89" s="6" t="s">
        <v>386</v>
      </c>
      <c r="C89" s="7" t="s">
        <v>34</v>
      </c>
      <c r="D89" s="7" t="s">
        <v>83</v>
      </c>
      <c r="E89" s="7" t="n">
        <v>2020</v>
      </c>
      <c r="F89" s="6" t="s">
        <v>404</v>
      </c>
      <c r="G89" s="6" t="s">
        <v>219</v>
      </c>
      <c r="H89" s="8" t="s">
        <v>405</v>
      </c>
      <c r="I89" s="6" t="s">
        <v>189</v>
      </c>
      <c r="J89" s="6" t="s">
        <v>39</v>
      </c>
      <c r="K89" s="6" t="s">
        <v>164</v>
      </c>
      <c r="L89" s="7"/>
      <c r="M89" s="7" t="s">
        <v>225</v>
      </c>
      <c r="N89" s="6" t="s">
        <v>406</v>
      </c>
      <c r="O89" s="7"/>
    </row>
    <row r="90" customFormat="false" ht="23.85" hidden="false" customHeight="false" outlineLevel="0" collapsed="false">
      <c r="A90" s="6" t="s">
        <v>407</v>
      </c>
      <c r="B90" s="6" t="s">
        <v>386</v>
      </c>
      <c r="C90" s="7" t="s">
        <v>65</v>
      </c>
      <c r="D90" s="7" t="s">
        <v>84</v>
      </c>
      <c r="E90" s="7" t="n">
        <v>2020</v>
      </c>
      <c r="F90" s="6" t="s">
        <v>408</v>
      </c>
      <c r="G90" s="6" t="s">
        <v>409</v>
      </c>
      <c r="H90" s="8" t="s">
        <v>410</v>
      </c>
      <c r="I90" s="6" t="s">
        <v>189</v>
      </c>
      <c r="J90" s="6" t="s">
        <v>53</v>
      </c>
      <c r="K90" s="7" t="s">
        <v>40</v>
      </c>
      <c r="L90" s="7"/>
      <c r="M90" s="7" t="s">
        <v>225</v>
      </c>
      <c r="N90" s="6" t="s">
        <v>411</v>
      </c>
      <c r="O90" s="7"/>
    </row>
    <row r="91" customFormat="false" ht="26.85" hidden="false" customHeight="false" outlineLevel="0" collapsed="false">
      <c r="A91" s="6" t="s">
        <v>412</v>
      </c>
      <c r="B91" s="6" t="s">
        <v>386</v>
      </c>
      <c r="C91" s="7" t="s">
        <v>74</v>
      </c>
      <c r="D91" s="7" t="s">
        <v>64</v>
      </c>
      <c r="E91" s="7" t="n">
        <v>2024</v>
      </c>
      <c r="F91" s="6" t="s">
        <v>413</v>
      </c>
      <c r="G91" s="6" t="s">
        <v>237</v>
      </c>
      <c r="H91" s="8" t="s">
        <v>414</v>
      </c>
      <c r="I91" s="6" t="s">
        <v>189</v>
      </c>
      <c r="J91" s="6" t="s">
        <v>53</v>
      </c>
      <c r="K91" s="7" t="s">
        <v>40</v>
      </c>
      <c r="L91" s="7"/>
      <c r="M91" s="7" t="s">
        <v>165</v>
      </c>
      <c r="N91" s="7" t="s">
        <v>166</v>
      </c>
      <c r="O91" s="7"/>
    </row>
    <row r="92" customFormat="false" ht="26.85" hidden="false" customHeight="false" outlineLevel="0" collapsed="false">
      <c r="A92" s="6" t="s">
        <v>415</v>
      </c>
      <c r="B92" s="6" t="s">
        <v>416</v>
      </c>
      <c r="C92" s="7" t="s">
        <v>83</v>
      </c>
      <c r="D92" s="7" t="s">
        <v>84</v>
      </c>
      <c r="E92" s="7" t="n">
        <v>2013</v>
      </c>
      <c r="F92" s="6" t="s">
        <v>417</v>
      </c>
      <c r="G92" s="6" t="s">
        <v>162</v>
      </c>
      <c r="H92" s="8" t="s">
        <v>418</v>
      </c>
      <c r="I92" s="6" t="s">
        <v>38</v>
      </c>
      <c r="J92" s="6" t="s">
        <v>53</v>
      </c>
      <c r="K92" s="6" t="s">
        <v>164</v>
      </c>
      <c r="L92" s="7"/>
      <c r="M92" s="7" t="s">
        <v>165</v>
      </c>
      <c r="N92" s="7" t="s">
        <v>166</v>
      </c>
      <c r="O92" s="7"/>
    </row>
    <row r="93" customFormat="false" ht="26.85" hidden="false" customHeight="false" outlineLevel="0" collapsed="false">
      <c r="A93" s="6" t="s">
        <v>419</v>
      </c>
      <c r="B93" s="6" t="s">
        <v>416</v>
      </c>
      <c r="C93" s="7" t="s">
        <v>84</v>
      </c>
      <c r="D93" s="7" t="s">
        <v>83</v>
      </c>
      <c r="E93" s="7" t="n">
        <v>2020</v>
      </c>
      <c r="F93" s="6" t="s">
        <v>420</v>
      </c>
      <c r="G93" s="6" t="s">
        <v>250</v>
      </c>
      <c r="H93" s="8" t="s">
        <v>421</v>
      </c>
      <c r="I93" s="6" t="s">
        <v>38</v>
      </c>
      <c r="J93" s="6" t="s">
        <v>53</v>
      </c>
      <c r="K93" s="6" t="s">
        <v>164</v>
      </c>
      <c r="L93" s="7"/>
      <c r="M93" s="7" t="s">
        <v>165</v>
      </c>
      <c r="N93" s="7" t="s">
        <v>166</v>
      </c>
      <c r="O93" s="7"/>
    </row>
    <row r="94" customFormat="false" ht="35.05" hidden="false" customHeight="false" outlineLevel="0" collapsed="false">
      <c r="A94" s="6" t="s">
        <v>422</v>
      </c>
      <c r="B94" s="6" t="s">
        <v>416</v>
      </c>
      <c r="C94" s="7" t="s">
        <v>58</v>
      </c>
      <c r="D94" s="7" t="s">
        <v>34</v>
      </c>
      <c r="E94" s="7" t="n">
        <v>2024</v>
      </c>
      <c r="F94" s="6" t="s">
        <v>423</v>
      </c>
      <c r="G94" s="6" t="s">
        <v>424</v>
      </c>
      <c r="H94" s="8" t="s">
        <v>425</v>
      </c>
      <c r="I94" s="6" t="s">
        <v>38</v>
      </c>
      <c r="J94" s="6" t="s">
        <v>53</v>
      </c>
      <c r="K94" s="6" t="s">
        <v>164</v>
      </c>
      <c r="L94" s="7"/>
      <c r="M94" s="7" t="s">
        <v>165</v>
      </c>
      <c r="N94" s="7" t="s">
        <v>166</v>
      </c>
      <c r="O94" s="7"/>
    </row>
    <row r="95" customFormat="false" ht="35.05" hidden="false" customHeight="false" outlineLevel="0" collapsed="false">
      <c r="A95" s="6" t="s">
        <v>426</v>
      </c>
      <c r="B95" s="6" t="s">
        <v>416</v>
      </c>
      <c r="C95" s="7" t="s">
        <v>34</v>
      </c>
      <c r="D95" s="7" t="s">
        <v>58</v>
      </c>
      <c r="E95" s="7" t="n">
        <v>2026</v>
      </c>
      <c r="F95" s="6" t="s">
        <v>427</v>
      </c>
      <c r="G95" s="6" t="s">
        <v>428</v>
      </c>
      <c r="H95" s="8" t="s">
        <v>429</v>
      </c>
      <c r="I95" s="6" t="s">
        <v>38</v>
      </c>
      <c r="J95" s="6" t="s">
        <v>53</v>
      </c>
      <c r="K95" s="7" t="s">
        <v>40</v>
      </c>
      <c r="L95" s="7"/>
      <c r="M95" s="7" t="s">
        <v>165</v>
      </c>
      <c r="N95" s="7" t="s">
        <v>166</v>
      </c>
      <c r="O95" s="7"/>
    </row>
    <row r="96" customFormat="false" ht="26.85" hidden="false" customHeight="false" outlineLevel="0" collapsed="false">
      <c r="A96" s="6" t="s">
        <v>430</v>
      </c>
      <c r="B96" s="6" t="s">
        <v>416</v>
      </c>
      <c r="C96" s="7" t="s">
        <v>74</v>
      </c>
      <c r="D96" s="7" t="s">
        <v>75</v>
      </c>
      <c r="E96" s="7" t="n">
        <v>1995</v>
      </c>
      <c r="F96" s="6" t="s">
        <v>431</v>
      </c>
      <c r="G96" s="6" t="s">
        <v>296</v>
      </c>
      <c r="H96" s="8" t="s">
        <v>432</v>
      </c>
      <c r="I96" s="6" t="s">
        <v>38</v>
      </c>
      <c r="J96" s="6" t="s">
        <v>53</v>
      </c>
      <c r="K96" s="6" t="s">
        <v>164</v>
      </c>
      <c r="L96" s="7"/>
      <c r="M96" s="7" t="s">
        <v>165</v>
      </c>
      <c r="N96" s="7" t="s">
        <v>166</v>
      </c>
      <c r="O96" s="7"/>
    </row>
    <row r="97" customFormat="false" ht="23.85" hidden="false" customHeight="false" outlineLevel="0" collapsed="false">
      <c r="A97" s="6" t="s">
        <v>433</v>
      </c>
      <c r="B97" s="6" t="s">
        <v>416</v>
      </c>
      <c r="C97" s="7" t="s">
        <v>75</v>
      </c>
      <c r="D97" s="7" t="s">
        <v>74</v>
      </c>
      <c r="E97" s="7" t="n">
        <v>1995</v>
      </c>
      <c r="F97" s="6" t="s">
        <v>434</v>
      </c>
      <c r="G97" s="6" t="s">
        <v>250</v>
      </c>
      <c r="H97" s="8" t="s">
        <v>435</v>
      </c>
      <c r="I97" s="6" t="s">
        <v>38</v>
      </c>
      <c r="J97" s="6" t="s">
        <v>53</v>
      </c>
      <c r="K97" s="6" t="s">
        <v>164</v>
      </c>
      <c r="L97" s="7"/>
      <c r="M97" s="7" t="s">
        <v>225</v>
      </c>
      <c r="N97" s="6" t="s">
        <v>436</v>
      </c>
      <c r="O97" s="7"/>
    </row>
    <row r="98" customFormat="false" ht="26.85" hidden="false" customHeight="false" outlineLevel="0" collapsed="false">
      <c r="A98" s="6" t="s">
        <v>437</v>
      </c>
      <c r="B98" s="6" t="s">
        <v>416</v>
      </c>
      <c r="C98" s="7" t="s">
        <v>64</v>
      </c>
      <c r="D98" s="7" t="s">
        <v>65</v>
      </c>
      <c r="E98" s="7" t="n">
        <v>2022</v>
      </c>
      <c r="F98" s="6" t="s">
        <v>438</v>
      </c>
      <c r="G98" s="6" t="s">
        <v>439</v>
      </c>
      <c r="H98" s="8" t="s">
        <v>440</v>
      </c>
      <c r="I98" s="6" t="s">
        <v>189</v>
      </c>
      <c r="J98" s="6" t="s">
        <v>39</v>
      </c>
      <c r="K98" s="7" t="s">
        <v>441</v>
      </c>
      <c r="L98" s="7"/>
      <c r="M98" s="7" t="s">
        <v>165</v>
      </c>
      <c r="N98" s="7" t="s">
        <v>166</v>
      </c>
      <c r="O98" s="7"/>
    </row>
    <row r="99" customFormat="false" ht="26.85" hidden="false" customHeight="false" outlineLevel="0" collapsed="false">
      <c r="A99" s="6" t="s">
        <v>442</v>
      </c>
      <c r="B99" s="6" t="s">
        <v>416</v>
      </c>
      <c r="C99" s="7" t="s">
        <v>65</v>
      </c>
      <c r="D99" s="7" t="s">
        <v>64</v>
      </c>
      <c r="E99" s="7" t="n">
        <v>2026</v>
      </c>
      <c r="F99" s="6" t="s">
        <v>443</v>
      </c>
      <c r="G99" s="6" t="s">
        <v>250</v>
      </c>
      <c r="H99" s="8" t="s">
        <v>444</v>
      </c>
      <c r="I99" s="6" t="s">
        <v>189</v>
      </c>
      <c r="J99" s="6" t="s">
        <v>39</v>
      </c>
      <c r="K99" s="6" t="s">
        <v>164</v>
      </c>
      <c r="L99" s="7"/>
      <c r="M99" s="7" t="s">
        <v>165</v>
      </c>
      <c r="N99" s="7" t="s">
        <v>166</v>
      </c>
      <c r="O99" s="7"/>
    </row>
    <row r="100" customFormat="false" ht="26.85" hidden="false" customHeight="false" outlineLevel="0" collapsed="false">
      <c r="A100" s="6" t="s">
        <v>445</v>
      </c>
      <c r="B100" s="6" t="s">
        <v>446</v>
      </c>
      <c r="C100" s="7" t="s">
        <v>64</v>
      </c>
      <c r="D100" s="7" t="s">
        <v>65</v>
      </c>
      <c r="E100" s="7" t="n">
        <v>2006</v>
      </c>
      <c r="F100" s="6" t="s">
        <v>447</v>
      </c>
      <c r="G100" s="6" t="s">
        <v>339</v>
      </c>
      <c r="H100" s="8" t="s">
        <v>448</v>
      </c>
      <c r="I100" s="6" t="s">
        <v>38</v>
      </c>
      <c r="J100" s="6" t="s">
        <v>111</v>
      </c>
      <c r="K100" s="6" t="s">
        <v>164</v>
      </c>
      <c r="L100" s="7"/>
      <c r="M100" s="7" t="s">
        <v>165</v>
      </c>
      <c r="N100" s="7" t="s">
        <v>166</v>
      </c>
      <c r="O100" s="7"/>
    </row>
    <row r="101" customFormat="false" ht="23.85" hidden="false" customHeight="false" outlineLevel="0" collapsed="false">
      <c r="A101" s="6" t="s">
        <v>449</v>
      </c>
      <c r="B101" s="6" t="s">
        <v>446</v>
      </c>
      <c r="C101" s="7" t="s">
        <v>65</v>
      </c>
      <c r="D101" s="7" t="s">
        <v>64</v>
      </c>
      <c r="E101" s="7" t="n">
        <v>2016</v>
      </c>
      <c r="F101" s="6" t="s">
        <v>450</v>
      </c>
      <c r="G101" s="6" t="s">
        <v>237</v>
      </c>
      <c r="H101" s="8" t="s">
        <v>451</v>
      </c>
      <c r="I101" s="6" t="s">
        <v>38</v>
      </c>
      <c r="J101" s="6" t="s">
        <v>111</v>
      </c>
      <c r="K101" s="7" t="s">
        <v>204</v>
      </c>
      <c r="L101" s="7"/>
      <c r="M101" s="7" t="s">
        <v>42</v>
      </c>
      <c r="N101" s="6" t="s">
        <v>452</v>
      </c>
      <c r="O101" s="7"/>
    </row>
    <row r="102" customFormat="false" ht="46.25" hidden="false" customHeight="false" outlineLevel="0" collapsed="false">
      <c r="A102" s="6" t="s">
        <v>453</v>
      </c>
      <c r="B102" s="6" t="s">
        <v>446</v>
      </c>
      <c r="C102" s="7" t="s">
        <v>75</v>
      </c>
      <c r="D102" s="7" t="s">
        <v>74</v>
      </c>
      <c r="E102" s="7" t="n">
        <v>2023</v>
      </c>
      <c r="F102" s="6" t="s">
        <v>454</v>
      </c>
      <c r="G102" s="6" t="s">
        <v>455</v>
      </c>
      <c r="H102" s="8" t="s">
        <v>456</v>
      </c>
      <c r="I102" s="6" t="s">
        <v>38</v>
      </c>
      <c r="J102" s="6" t="s">
        <v>111</v>
      </c>
      <c r="K102" s="7" t="s">
        <v>40</v>
      </c>
      <c r="L102" s="7"/>
      <c r="M102" s="7" t="s">
        <v>42</v>
      </c>
      <c r="N102" s="6" t="s">
        <v>457</v>
      </c>
      <c r="O102" s="7"/>
    </row>
    <row r="103" customFormat="false" ht="26.85" hidden="false" customHeight="false" outlineLevel="0" collapsed="false">
      <c r="A103" s="6" t="s">
        <v>458</v>
      </c>
      <c r="B103" s="6" t="s">
        <v>446</v>
      </c>
      <c r="C103" s="7" t="s">
        <v>83</v>
      </c>
      <c r="D103" s="7" t="s">
        <v>84</v>
      </c>
      <c r="E103" s="7" t="n">
        <v>1996</v>
      </c>
      <c r="F103" s="6" t="s">
        <v>459</v>
      </c>
      <c r="G103" s="6" t="s">
        <v>250</v>
      </c>
      <c r="H103" s="8" t="s">
        <v>460</v>
      </c>
      <c r="I103" s="6" t="s">
        <v>38</v>
      </c>
      <c r="J103" s="6" t="s">
        <v>39</v>
      </c>
      <c r="K103" s="6" t="s">
        <v>164</v>
      </c>
      <c r="L103" s="7"/>
      <c r="M103" s="7" t="s">
        <v>165</v>
      </c>
      <c r="N103" s="7" t="s">
        <v>166</v>
      </c>
      <c r="O103" s="7"/>
    </row>
    <row r="104" customFormat="false" ht="26.85" hidden="false" customHeight="false" outlineLevel="0" collapsed="false">
      <c r="A104" s="6" t="s">
        <v>461</v>
      </c>
      <c r="B104" s="6" t="s">
        <v>446</v>
      </c>
      <c r="C104" s="7" t="s">
        <v>84</v>
      </c>
      <c r="D104" s="7" t="s">
        <v>83</v>
      </c>
      <c r="E104" s="7" t="n">
        <v>1999</v>
      </c>
      <c r="F104" s="6" t="s">
        <v>462</v>
      </c>
      <c r="G104" s="6" t="s">
        <v>250</v>
      </c>
      <c r="H104" s="8" t="s">
        <v>463</v>
      </c>
      <c r="I104" s="6" t="s">
        <v>38</v>
      </c>
      <c r="J104" s="6" t="s">
        <v>39</v>
      </c>
      <c r="K104" s="6" t="s">
        <v>164</v>
      </c>
      <c r="L104" s="7"/>
      <c r="M104" s="7" t="s">
        <v>165</v>
      </c>
      <c r="N104" s="7" t="s">
        <v>166</v>
      </c>
      <c r="O104" s="7"/>
    </row>
    <row r="105" customFormat="false" ht="26.85" hidden="false" customHeight="false" outlineLevel="0" collapsed="false">
      <c r="A105" s="6" t="s">
        <v>464</v>
      </c>
      <c r="B105" s="6" t="s">
        <v>446</v>
      </c>
      <c r="C105" s="7" t="s">
        <v>58</v>
      </c>
      <c r="D105" s="7" t="s">
        <v>34</v>
      </c>
      <c r="E105" s="7" t="n">
        <v>2002</v>
      </c>
      <c r="F105" s="6" t="s">
        <v>465</v>
      </c>
      <c r="G105" s="6" t="s">
        <v>198</v>
      </c>
      <c r="H105" s="8" t="s">
        <v>466</v>
      </c>
      <c r="I105" s="6" t="s">
        <v>38</v>
      </c>
      <c r="J105" s="6" t="s">
        <v>39</v>
      </c>
      <c r="K105" s="7" t="s">
        <v>40</v>
      </c>
      <c r="L105" s="7"/>
      <c r="M105" s="7" t="s">
        <v>165</v>
      </c>
      <c r="N105" s="7" t="s">
        <v>166</v>
      </c>
      <c r="O105" s="7"/>
    </row>
    <row r="106" customFormat="false" ht="26.85" hidden="false" customHeight="false" outlineLevel="0" collapsed="false">
      <c r="A106" s="6" t="s">
        <v>467</v>
      </c>
      <c r="B106" s="6" t="s">
        <v>446</v>
      </c>
      <c r="C106" s="7" t="s">
        <v>34</v>
      </c>
      <c r="D106" s="7" t="s">
        <v>58</v>
      </c>
      <c r="E106" s="7" t="n">
        <v>2008</v>
      </c>
      <c r="F106" s="6" t="s">
        <v>468</v>
      </c>
      <c r="G106" s="6" t="s">
        <v>469</v>
      </c>
      <c r="H106" s="8" t="s">
        <v>470</v>
      </c>
      <c r="I106" s="6" t="s">
        <v>38</v>
      </c>
      <c r="J106" s="6" t="s">
        <v>39</v>
      </c>
      <c r="K106" s="7" t="s">
        <v>40</v>
      </c>
      <c r="L106" s="7"/>
      <c r="M106" s="7" t="s">
        <v>165</v>
      </c>
      <c r="N106" s="7" t="s">
        <v>166</v>
      </c>
      <c r="O106" s="7"/>
    </row>
    <row r="107" customFormat="false" ht="26.85" hidden="false" customHeight="false" outlineLevel="0" collapsed="false">
      <c r="A107" s="6" t="s">
        <v>471</v>
      </c>
      <c r="B107" s="6" t="s">
        <v>446</v>
      </c>
      <c r="C107" s="7" t="s">
        <v>74</v>
      </c>
      <c r="D107" s="7" t="s">
        <v>75</v>
      </c>
      <c r="E107" s="7" t="n">
        <v>2018</v>
      </c>
      <c r="F107" s="6" t="s">
        <v>472</v>
      </c>
      <c r="G107" s="6" t="s">
        <v>162</v>
      </c>
      <c r="H107" s="8" t="s">
        <v>473</v>
      </c>
      <c r="I107" s="6" t="s">
        <v>38</v>
      </c>
      <c r="J107" s="6" t="s">
        <v>111</v>
      </c>
      <c r="K107" s="6" t="s">
        <v>164</v>
      </c>
      <c r="L107" s="7"/>
      <c r="M107" s="7" t="s">
        <v>165</v>
      </c>
      <c r="N107" s="7" t="s">
        <v>166</v>
      </c>
      <c r="O107" s="7"/>
    </row>
    <row r="108" customFormat="false" ht="26.85" hidden="false" customHeight="false" outlineLevel="0" collapsed="false">
      <c r="A108" s="6" t="s">
        <v>474</v>
      </c>
      <c r="B108" s="6" t="s">
        <v>475</v>
      </c>
      <c r="C108" s="7" t="s">
        <v>74</v>
      </c>
      <c r="D108" s="7" t="s">
        <v>75</v>
      </c>
      <c r="E108" s="7" t="n">
        <v>2010</v>
      </c>
      <c r="F108" s="6" t="s">
        <v>476</v>
      </c>
      <c r="G108" s="6" t="s">
        <v>219</v>
      </c>
      <c r="H108" s="8" t="s">
        <v>477</v>
      </c>
      <c r="I108" s="6" t="s">
        <v>38</v>
      </c>
      <c r="J108" s="6" t="s">
        <v>39</v>
      </c>
      <c r="K108" s="7" t="s">
        <v>40</v>
      </c>
      <c r="L108" s="7"/>
      <c r="M108" s="7" t="s">
        <v>165</v>
      </c>
      <c r="N108" s="7" t="s">
        <v>166</v>
      </c>
      <c r="O108" s="7"/>
    </row>
    <row r="109" customFormat="false" ht="26.85" hidden="false" customHeight="false" outlineLevel="0" collapsed="false">
      <c r="A109" s="6" t="s">
        <v>478</v>
      </c>
      <c r="B109" s="6" t="s">
        <v>475</v>
      </c>
      <c r="C109" s="7" t="s">
        <v>58</v>
      </c>
      <c r="D109" s="7" t="s">
        <v>34</v>
      </c>
      <c r="E109" s="7" t="n">
        <v>2013</v>
      </c>
      <c r="F109" s="6" t="s">
        <v>479</v>
      </c>
      <c r="G109" s="6" t="s">
        <v>296</v>
      </c>
      <c r="H109" s="8" t="s">
        <v>480</v>
      </c>
      <c r="I109" s="6" t="s">
        <v>38</v>
      </c>
      <c r="J109" s="6" t="s">
        <v>39</v>
      </c>
      <c r="K109" s="7" t="s">
        <v>40</v>
      </c>
      <c r="L109" s="7"/>
      <c r="M109" s="7" t="s">
        <v>165</v>
      </c>
      <c r="N109" s="7" t="s">
        <v>166</v>
      </c>
      <c r="O109" s="7"/>
    </row>
    <row r="110" customFormat="false" ht="26.85" hidden="false" customHeight="false" outlineLevel="0" collapsed="false">
      <c r="A110" s="6" t="s">
        <v>481</v>
      </c>
      <c r="B110" s="6" t="s">
        <v>475</v>
      </c>
      <c r="C110" s="7" t="s">
        <v>64</v>
      </c>
      <c r="D110" s="7" t="s">
        <v>65</v>
      </c>
      <c r="E110" s="7" t="n">
        <v>2008</v>
      </c>
      <c r="F110" s="6" t="s">
        <v>482</v>
      </c>
      <c r="G110" s="6" t="s">
        <v>250</v>
      </c>
      <c r="H110" s="8" t="s">
        <v>483</v>
      </c>
      <c r="I110" s="6" t="s">
        <v>38</v>
      </c>
      <c r="J110" s="6" t="s">
        <v>39</v>
      </c>
      <c r="K110" s="7" t="s">
        <v>40</v>
      </c>
      <c r="L110" s="7"/>
      <c r="M110" s="7" t="s">
        <v>165</v>
      </c>
      <c r="N110" s="7" t="s">
        <v>166</v>
      </c>
      <c r="O110" s="7"/>
    </row>
    <row r="111" customFormat="false" ht="23.85" hidden="false" customHeight="false" outlineLevel="0" collapsed="false">
      <c r="A111" s="6" t="s">
        <v>484</v>
      </c>
      <c r="B111" s="6" t="s">
        <v>475</v>
      </c>
      <c r="C111" s="7" t="s">
        <v>65</v>
      </c>
      <c r="D111" s="7" t="s">
        <v>64</v>
      </c>
      <c r="E111" s="7" t="n">
        <v>2009</v>
      </c>
      <c r="F111" s="6" t="s">
        <v>485</v>
      </c>
      <c r="G111" s="6" t="s">
        <v>250</v>
      </c>
      <c r="H111" s="8" t="s">
        <v>486</v>
      </c>
      <c r="I111" s="6" t="s">
        <v>38</v>
      </c>
      <c r="J111" s="6" t="s">
        <v>39</v>
      </c>
      <c r="K111" s="7" t="s">
        <v>204</v>
      </c>
      <c r="L111" s="7"/>
      <c r="M111" s="7" t="s">
        <v>225</v>
      </c>
      <c r="N111" s="6" t="s">
        <v>487</v>
      </c>
      <c r="O111" s="7"/>
    </row>
    <row r="112" customFormat="false" ht="26.85" hidden="false" customHeight="false" outlineLevel="0" collapsed="false">
      <c r="A112" s="6" t="s">
        <v>488</v>
      </c>
      <c r="B112" s="6" t="s">
        <v>475</v>
      </c>
      <c r="C112" s="7" t="s">
        <v>75</v>
      </c>
      <c r="D112" s="7" t="s">
        <v>74</v>
      </c>
      <c r="E112" s="7" t="n">
        <v>2010</v>
      </c>
      <c r="F112" s="6" t="s">
        <v>489</v>
      </c>
      <c r="G112" s="6" t="s">
        <v>210</v>
      </c>
      <c r="H112" s="8" t="s">
        <v>490</v>
      </c>
      <c r="I112" s="6" t="s">
        <v>38</v>
      </c>
      <c r="J112" s="6" t="s">
        <v>39</v>
      </c>
      <c r="K112" s="6" t="s">
        <v>164</v>
      </c>
      <c r="L112" s="7"/>
      <c r="M112" s="7" t="s">
        <v>165</v>
      </c>
      <c r="N112" s="7" t="s">
        <v>166</v>
      </c>
      <c r="O112" s="7"/>
    </row>
    <row r="113" customFormat="false" ht="26.85" hidden="false" customHeight="false" outlineLevel="0" collapsed="false">
      <c r="A113" s="6" t="s">
        <v>491</v>
      </c>
      <c r="B113" s="6" t="s">
        <v>475</v>
      </c>
      <c r="C113" s="7" t="s">
        <v>83</v>
      </c>
      <c r="D113" s="7" t="s">
        <v>84</v>
      </c>
      <c r="E113" s="7" t="n">
        <v>2011</v>
      </c>
      <c r="F113" s="6" t="s">
        <v>492</v>
      </c>
      <c r="G113" s="6" t="s">
        <v>162</v>
      </c>
      <c r="H113" s="8" t="s">
        <v>493</v>
      </c>
      <c r="I113" s="6" t="s">
        <v>38</v>
      </c>
      <c r="J113" s="6" t="s">
        <v>39</v>
      </c>
      <c r="K113" s="6" t="s">
        <v>164</v>
      </c>
      <c r="L113" s="7"/>
      <c r="M113" s="7" t="s">
        <v>165</v>
      </c>
      <c r="N113" s="7" t="s">
        <v>166</v>
      </c>
      <c r="O113" s="7"/>
    </row>
    <row r="114" customFormat="false" ht="23.85" hidden="false" customHeight="false" outlineLevel="0" collapsed="false">
      <c r="A114" s="6" t="s">
        <v>494</v>
      </c>
      <c r="B114" s="6" t="s">
        <v>475</v>
      </c>
      <c r="C114" s="7" t="s">
        <v>84</v>
      </c>
      <c r="D114" s="7" t="s">
        <v>83</v>
      </c>
      <c r="E114" s="7" t="n">
        <v>2012</v>
      </c>
      <c r="F114" s="6" t="s">
        <v>495</v>
      </c>
      <c r="G114" s="6" t="s">
        <v>250</v>
      </c>
      <c r="H114" s="8" t="s">
        <v>496</v>
      </c>
      <c r="I114" s="6" t="s">
        <v>38</v>
      </c>
      <c r="J114" s="6" t="s">
        <v>39</v>
      </c>
      <c r="K114" s="7" t="s">
        <v>204</v>
      </c>
      <c r="L114" s="7"/>
      <c r="M114" s="7" t="s">
        <v>225</v>
      </c>
      <c r="N114" s="6" t="s">
        <v>497</v>
      </c>
      <c r="O114" s="7"/>
    </row>
    <row r="115" customFormat="false" ht="26.85" hidden="false" customHeight="false" outlineLevel="0" collapsed="false">
      <c r="A115" s="6" t="s">
        <v>498</v>
      </c>
      <c r="B115" s="6" t="s">
        <v>475</v>
      </c>
      <c r="C115" s="7" t="s">
        <v>34</v>
      </c>
      <c r="D115" s="7" t="s">
        <v>58</v>
      </c>
      <c r="E115" s="7" t="n">
        <v>2013</v>
      </c>
      <c r="F115" s="6" t="s">
        <v>499</v>
      </c>
      <c r="G115" s="6" t="s">
        <v>296</v>
      </c>
      <c r="H115" s="8" t="s">
        <v>500</v>
      </c>
      <c r="I115" s="6" t="s">
        <v>38</v>
      </c>
      <c r="J115" s="6" t="s">
        <v>39</v>
      </c>
      <c r="K115" s="6" t="s">
        <v>164</v>
      </c>
      <c r="L115" s="7"/>
      <c r="M115" s="7" t="s">
        <v>42</v>
      </c>
      <c r="N115" s="6" t="s">
        <v>501</v>
      </c>
      <c r="O115" s="7" t="s">
        <v>502</v>
      </c>
    </row>
    <row r="116" customFormat="false" ht="23.85" hidden="false" customHeight="false" outlineLevel="0" collapsed="false">
      <c r="A116" s="6" t="s">
        <v>503</v>
      </c>
      <c r="B116" s="6" t="s">
        <v>504</v>
      </c>
      <c r="C116" s="7" t="s">
        <v>64</v>
      </c>
      <c r="D116" s="7" t="s">
        <v>65</v>
      </c>
      <c r="E116" s="7" t="n">
        <v>2013</v>
      </c>
      <c r="F116" s="6" t="s">
        <v>505</v>
      </c>
      <c r="G116" s="6" t="s">
        <v>237</v>
      </c>
      <c r="H116" s="8" t="s">
        <v>506</v>
      </c>
      <c r="I116" s="6" t="s">
        <v>38</v>
      </c>
      <c r="J116" s="6" t="s">
        <v>39</v>
      </c>
      <c r="K116" s="7" t="s">
        <v>40</v>
      </c>
      <c r="L116" s="7"/>
      <c r="M116" s="7" t="s">
        <v>42</v>
      </c>
      <c r="N116" s="6" t="s">
        <v>507</v>
      </c>
      <c r="O116" s="7"/>
    </row>
    <row r="117" customFormat="false" ht="26.85" hidden="false" customHeight="false" outlineLevel="0" collapsed="false">
      <c r="A117" s="6" t="s">
        <v>508</v>
      </c>
      <c r="B117" s="6" t="s">
        <v>504</v>
      </c>
      <c r="C117" s="7" t="s">
        <v>65</v>
      </c>
      <c r="D117" s="7" t="s">
        <v>64</v>
      </c>
      <c r="E117" s="7" t="n">
        <v>2013</v>
      </c>
      <c r="F117" s="6" t="s">
        <v>509</v>
      </c>
      <c r="G117" s="6" t="s">
        <v>510</v>
      </c>
      <c r="H117" s="8" t="s">
        <v>511</v>
      </c>
      <c r="I117" s="6" t="s">
        <v>38</v>
      </c>
      <c r="J117" s="6" t="s">
        <v>39</v>
      </c>
      <c r="K117" s="7" t="s">
        <v>40</v>
      </c>
      <c r="L117" s="7"/>
      <c r="M117" s="7" t="s">
        <v>165</v>
      </c>
      <c r="N117" s="7" t="s">
        <v>166</v>
      </c>
      <c r="O117" s="7"/>
    </row>
    <row r="118" customFormat="false" ht="26.85" hidden="false" customHeight="false" outlineLevel="0" collapsed="false">
      <c r="A118" s="6" t="s">
        <v>512</v>
      </c>
      <c r="B118" s="6" t="s">
        <v>504</v>
      </c>
      <c r="C118" s="7" t="s">
        <v>74</v>
      </c>
      <c r="D118" s="7" t="s">
        <v>75</v>
      </c>
      <c r="E118" s="7" t="n">
        <v>2014</v>
      </c>
      <c r="F118" s="6" t="s">
        <v>513</v>
      </c>
      <c r="G118" s="6" t="s">
        <v>514</v>
      </c>
      <c r="H118" s="8" t="s">
        <v>515</v>
      </c>
      <c r="I118" s="6" t="s">
        <v>38</v>
      </c>
      <c r="J118" s="6" t="s">
        <v>39</v>
      </c>
      <c r="K118" s="7" t="s">
        <v>40</v>
      </c>
      <c r="L118" s="7"/>
      <c r="M118" s="7" t="s">
        <v>165</v>
      </c>
      <c r="N118" s="7" t="s">
        <v>166</v>
      </c>
      <c r="O118" s="7"/>
    </row>
    <row r="119" customFormat="false" ht="23.85" hidden="false" customHeight="false" outlineLevel="0" collapsed="false">
      <c r="A119" s="6" t="s">
        <v>516</v>
      </c>
      <c r="B119" s="6" t="s">
        <v>504</v>
      </c>
      <c r="C119" s="7" t="s">
        <v>75</v>
      </c>
      <c r="D119" s="7" t="s">
        <v>74</v>
      </c>
      <c r="E119" s="7" t="n">
        <v>2015</v>
      </c>
      <c r="F119" s="6" t="s">
        <v>517</v>
      </c>
      <c r="G119" s="6" t="s">
        <v>296</v>
      </c>
      <c r="H119" s="8" t="s">
        <v>518</v>
      </c>
      <c r="I119" s="6" t="s">
        <v>38</v>
      </c>
      <c r="J119" s="6" t="s">
        <v>39</v>
      </c>
      <c r="K119" s="6" t="s">
        <v>164</v>
      </c>
      <c r="L119" s="7"/>
      <c r="M119" s="7" t="s">
        <v>42</v>
      </c>
      <c r="N119" s="6" t="s">
        <v>519</v>
      </c>
      <c r="O119" s="7"/>
    </row>
    <row r="120" customFormat="false" ht="23.85" hidden="false" customHeight="false" outlineLevel="0" collapsed="false">
      <c r="A120" s="6" t="s">
        <v>520</v>
      </c>
      <c r="B120" s="6" t="s">
        <v>504</v>
      </c>
      <c r="C120" s="7" t="s">
        <v>83</v>
      </c>
      <c r="D120" s="7" t="s">
        <v>84</v>
      </c>
      <c r="E120" s="7" t="n">
        <v>2018</v>
      </c>
      <c r="F120" s="6" t="s">
        <v>521</v>
      </c>
      <c r="G120" s="6" t="s">
        <v>254</v>
      </c>
      <c r="H120" s="8" t="s">
        <v>522</v>
      </c>
      <c r="I120" s="6" t="s">
        <v>38</v>
      </c>
      <c r="J120" s="6" t="s">
        <v>39</v>
      </c>
      <c r="K120" s="7" t="s">
        <v>40</v>
      </c>
      <c r="L120" s="7"/>
      <c r="M120" s="7" t="s">
        <v>225</v>
      </c>
      <c r="N120" s="6" t="s">
        <v>523</v>
      </c>
      <c r="O120" s="7"/>
    </row>
    <row r="121" customFormat="false" ht="26.85" hidden="false" customHeight="false" outlineLevel="0" collapsed="false">
      <c r="A121" s="6" t="s">
        <v>524</v>
      </c>
      <c r="B121" s="6" t="s">
        <v>504</v>
      </c>
      <c r="C121" s="7" t="s">
        <v>84</v>
      </c>
      <c r="D121" s="7" t="s">
        <v>83</v>
      </c>
      <c r="E121" s="7" t="n">
        <v>2018</v>
      </c>
      <c r="F121" s="6" t="s">
        <v>525</v>
      </c>
      <c r="G121" s="6" t="s">
        <v>526</v>
      </c>
      <c r="H121" s="8" t="s">
        <v>527</v>
      </c>
      <c r="I121" s="6" t="s">
        <v>38</v>
      </c>
      <c r="J121" s="6" t="s">
        <v>39</v>
      </c>
      <c r="K121" s="7" t="s">
        <v>204</v>
      </c>
      <c r="L121" s="7"/>
      <c r="M121" s="7" t="s">
        <v>165</v>
      </c>
      <c r="N121" s="7" t="s">
        <v>166</v>
      </c>
      <c r="O121" s="7"/>
    </row>
    <row r="122" customFormat="false" ht="26.85" hidden="false" customHeight="false" outlineLevel="0" collapsed="false">
      <c r="A122" s="6" t="s">
        <v>528</v>
      </c>
      <c r="B122" s="6" t="s">
        <v>504</v>
      </c>
      <c r="C122" s="7" t="s">
        <v>58</v>
      </c>
      <c r="D122" s="7" t="s">
        <v>34</v>
      </c>
      <c r="E122" s="7" t="n">
        <v>2021</v>
      </c>
      <c r="F122" s="6" t="s">
        <v>529</v>
      </c>
      <c r="G122" s="6" t="s">
        <v>67</v>
      </c>
      <c r="H122" s="8" t="s">
        <v>530</v>
      </c>
      <c r="I122" s="6" t="s">
        <v>38</v>
      </c>
      <c r="J122" s="6" t="s">
        <v>39</v>
      </c>
      <c r="K122" s="6" t="s">
        <v>164</v>
      </c>
      <c r="L122" s="7"/>
      <c r="M122" s="7" t="s">
        <v>165</v>
      </c>
      <c r="N122" s="7" t="s">
        <v>166</v>
      </c>
      <c r="O122" s="7"/>
    </row>
    <row r="123" customFormat="false" ht="26.85" hidden="false" customHeight="false" outlineLevel="0" collapsed="false">
      <c r="A123" s="6" t="s">
        <v>531</v>
      </c>
      <c r="B123" s="6" t="s">
        <v>504</v>
      </c>
      <c r="C123" s="7" t="s">
        <v>34</v>
      </c>
      <c r="D123" s="7" t="s">
        <v>58</v>
      </c>
      <c r="E123" s="7" t="n">
        <v>2021</v>
      </c>
      <c r="F123" s="6" t="s">
        <v>532</v>
      </c>
      <c r="G123" s="6" t="s">
        <v>533</v>
      </c>
      <c r="H123" s="8" t="s">
        <v>534</v>
      </c>
      <c r="I123" s="6" t="s">
        <v>38</v>
      </c>
      <c r="J123" s="6" t="s">
        <v>39</v>
      </c>
      <c r="K123" s="7" t="s">
        <v>204</v>
      </c>
      <c r="L123" s="7"/>
      <c r="M123" s="7" t="s">
        <v>165</v>
      </c>
      <c r="N123" s="7" t="s">
        <v>166</v>
      </c>
      <c r="O123" s="7"/>
    </row>
    <row r="124" customFormat="false" ht="23.85" hidden="false" customHeight="false" outlineLevel="0" collapsed="false">
      <c r="A124" s="6" t="s">
        <v>535</v>
      </c>
      <c r="B124" s="6" t="s">
        <v>536</v>
      </c>
      <c r="C124" s="7" t="s">
        <v>64</v>
      </c>
      <c r="D124" s="7" t="s">
        <v>75</v>
      </c>
      <c r="E124" s="7" t="n">
        <v>2021</v>
      </c>
      <c r="F124" s="6" t="s">
        <v>537</v>
      </c>
      <c r="G124" s="6" t="s">
        <v>538</v>
      </c>
      <c r="H124" s="8" t="s">
        <v>539</v>
      </c>
      <c r="I124" s="6" t="s">
        <v>38</v>
      </c>
      <c r="J124" s="6" t="s">
        <v>39</v>
      </c>
      <c r="K124" s="7" t="s">
        <v>441</v>
      </c>
      <c r="L124" s="7"/>
      <c r="M124" s="7" t="s">
        <v>42</v>
      </c>
      <c r="N124" s="6" t="s">
        <v>540</v>
      </c>
      <c r="O124" s="7"/>
    </row>
    <row r="125" customFormat="false" ht="23.85" hidden="false" customHeight="false" outlineLevel="0" collapsed="false">
      <c r="A125" s="6" t="s">
        <v>541</v>
      </c>
      <c r="B125" s="6" t="s">
        <v>536</v>
      </c>
      <c r="C125" s="7" t="s">
        <v>65</v>
      </c>
      <c r="D125" s="7" t="s">
        <v>83</v>
      </c>
      <c r="E125" s="7" t="n">
        <v>2023</v>
      </c>
      <c r="F125" s="6" t="s">
        <v>542</v>
      </c>
      <c r="G125" s="6" t="s">
        <v>162</v>
      </c>
      <c r="H125" s="8" t="s">
        <v>543</v>
      </c>
      <c r="I125" s="6" t="s">
        <v>38</v>
      </c>
      <c r="J125" s="6" t="s">
        <v>39</v>
      </c>
      <c r="K125" s="7" t="s">
        <v>40</v>
      </c>
      <c r="L125" s="7"/>
      <c r="M125" s="7" t="s">
        <v>225</v>
      </c>
      <c r="N125" s="6" t="s">
        <v>544</v>
      </c>
      <c r="O125" s="7"/>
    </row>
    <row r="126" customFormat="false" ht="26.85" hidden="false" customHeight="false" outlineLevel="0" collapsed="false">
      <c r="A126" s="6" t="s">
        <v>545</v>
      </c>
      <c r="B126" s="6" t="s">
        <v>536</v>
      </c>
      <c r="C126" s="7" t="s">
        <v>74</v>
      </c>
      <c r="D126" s="7" t="s">
        <v>64</v>
      </c>
      <c r="E126" s="7" t="n">
        <v>2023</v>
      </c>
      <c r="F126" s="6" t="s">
        <v>546</v>
      </c>
      <c r="G126" s="6" t="s">
        <v>219</v>
      </c>
      <c r="H126" s="8" t="s">
        <v>547</v>
      </c>
      <c r="I126" s="6" t="s">
        <v>38</v>
      </c>
      <c r="J126" s="6" t="s">
        <v>39</v>
      </c>
      <c r="K126" s="6" t="s">
        <v>164</v>
      </c>
      <c r="L126" s="7"/>
      <c r="M126" s="7" t="s">
        <v>165</v>
      </c>
      <c r="N126" s="7" t="s">
        <v>166</v>
      </c>
      <c r="O126" s="7"/>
    </row>
    <row r="127" customFormat="false" ht="26.85" hidden="false" customHeight="false" outlineLevel="0" collapsed="false">
      <c r="A127" s="6" t="s">
        <v>548</v>
      </c>
      <c r="B127" s="6" t="s">
        <v>536</v>
      </c>
      <c r="C127" s="7" t="s">
        <v>75</v>
      </c>
      <c r="D127" s="7" t="s">
        <v>84</v>
      </c>
      <c r="E127" s="7" t="n">
        <v>2024</v>
      </c>
      <c r="F127" s="6" t="s">
        <v>549</v>
      </c>
      <c r="G127" s="6" t="s">
        <v>219</v>
      </c>
      <c r="H127" s="8" t="s">
        <v>550</v>
      </c>
      <c r="I127" s="6" t="s">
        <v>38</v>
      </c>
      <c r="J127" s="6" t="s">
        <v>39</v>
      </c>
      <c r="K127" s="7" t="s">
        <v>40</v>
      </c>
      <c r="L127" s="7"/>
      <c r="M127" s="7" t="s">
        <v>165</v>
      </c>
      <c r="N127" s="7" t="s">
        <v>166</v>
      </c>
      <c r="O127" s="7"/>
    </row>
    <row r="128" customFormat="false" ht="26.85" hidden="false" customHeight="false" outlineLevel="0" collapsed="false">
      <c r="A128" s="6" t="s">
        <v>551</v>
      </c>
      <c r="B128" s="6" t="s">
        <v>536</v>
      </c>
      <c r="C128" s="7" t="s">
        <v>83</v>
      </c>
      <c r="D128" s="7" t="s">
        <v>65</v>
      </c>
      <c r="E128" s="7" t="n">
        <v>2025</v>
      </c>
      <c r="F128" s="6" t="s">
        <v>552</v>
      </c>
      <c r="G128" s="6" t="s">
        <v>553</v>
      </c>
      <c r="H128" s="8" t="s">
        <v>554</v>
      </c>
      <c r="I128" s="6" t="s">
        <v>38</v>
      </c>
      <c r="J128" s="6" t="s">
        <v>39</v>
      </c>
      <c r="K128" s="7" t="s">
        <v>40</v>
      </c>
      <c r="L128" s="7"/>
      <c r="M128" s="7" t="s">
        <v>165</v>
      </c>
      <c r="N128" s="7" t="s">
        <v>166</v>
      </c>
      <c r="O128" s="7"/>
    </row>
    <row r="129" customFormat="false" ht="26.85" hidden="false" customHeight="false" outlineLevel="0" collapsed="false">
      <c r="A129" s="6" t="s">
        <v>555</v>
      </c>
      <c r="B129" s="6" t="s">
        <v>536</v>
      </c>
      <c r="C129" s="7" t="s">
        <v>84</v>
      </c>
      <c r="D129" s="7" t="s">
        <v>34</v>
      </c>
      <c r="E129" s="7" t="n">
        <v>2025</v>
      </c>
      <c r="F129" s="6" t="s">
        <v>556</v>
      </c>
      <c r="G129" s="6" t="s">
        <v>557</v>
      </c>
      <c r="H129" s="8" t="s">
        <v>558</v>
      </c>
      <c r="I129" s="6" t="s">
        <v>38</v>
      </c>
      <c r="J129" s="6" t="s">
        <v>39</v>
      </c>
      <c r="K129" s="7" t="s">
        <v>40</v>
      </c>
      <c r="L129" s="7"/>
      <c r="M129" s="7" t="s">
        <v>165</v>
      </c>
      <c r="N129" s="7" t="s">
        <v>166</v>
      </c>
      <c r="O129" s="7"/>
    </row>
    <row r="130" customFormat="false" ht="35.05" hidden="false" customHeight="false" outlineLevel="0" collapsed="false">
      <c r="A130" s="6" t="s">
        <v>559</v>
      </c>
      <c r="B130" s="6" t="s">
        <v>536</v>
      </c>
      <c r="C130" s="7" t="s">
        <v>58</v>
      </c>
      <c r="D130" s="7" t="s">
        <v>74</v>
      </c>
      <c r="E130" s="7" t="n">
        <v>2026</v>
      </c>
      <c r="F130" s="6" t="s">
        <v>560</v>
      </c>
      <c r="G130" s="6" t="s">
        <v>561</v>
      </c>
      <c r="H130" s="8" t="s">
        <v>562</v>
      </c>
      <c r="I130" s="6" t="s">
        <v>38</v>
      </c>
      <c r="J130" s="6" t="s">
        <v>39</v>
      </c>
      <c r="K130" s="7" t="s">
        <v>441</v>
      </c>
      <c r="L130" s="7"/>
      <c r="M130" s="7" t="s">
        <v>225</v>
      </c>
      <c r="N130" s="6" t="s">
        <v>563</v>
      </c>
      <c r="O130" s="7"/>
    </row>
    <row r="131" customFormat="false" ht="23.85" hidden="false" customHeight="false" outlineLevel="0" collapsed="false">
      <c r="A131" s="6" t="s">
        <v>564</v>
      </c>
      <c r="B131" s="6" t="s">
        <v>536</v>
      </c>
      <c r="C131" s="7" t="s">
        <v>34</v>
      </c>
      <c r="D131" s="7" t="s">
        <v>58</v>
      </c>
      <c r="E131" s="7" t="n">
        <v>2026</v>
      </c>
      <c r="F131" s="6" t="s">
        <v>565</v>
      </c>
      <c r="G131" s="6" t="s">
        <v>566</v>
      </c>
      <c r="H131" s="8" t="s">
        <v>567</v>
      </c>
      <c r="I131" s="6" t="s">
        <v>38</v>
      </c>
      <c r="J131" s="6" t="s">
        <v>39</v>
      </c>
      <c r="K131" s="7" t="s">
        <v>40</v>
      </c>
      <c r="L131" s="7"/>
      <c r="M131" s="7" t="s">
        <v>42</v>
      </c>
      <c r="N131" s="6" t="s">
        <v>568</v>
      </c>
      <c r="O131" s="7"/>
    </row>
    <row r="132" customFormat="false" ht="26.85" hidden="false" customHeight="false" outlineLevel="0" collapsed="false">
      <c r="A132" s="6" t="s">
        <v>569</v>
      </c>
      <c r="B132" s="6" t="s">
        <v>570</v>
      </c>
      <c r="C132" s="7" t="s">
        <v>65</v>
      </c>
      <c r="D132" s="7" t="s">
        <v>83</v>
      </c>
      <c r="E132" s="7" t="n">
        <v>2012</v>
      </c>
      <c r="F132" s="6" t="s">
        <v>571</v>
      </c>
      <c r="G132" s="6" t="s">
        <v>162</v>
      </c>
      <c r="H132" s="8" t="s">
        <v>572</v>
      </c>
      <c r="I132" s="6" t="s">
        <v>69</v>
      </c>
      <c r="J132" s="6" t="s">
        <v>53</v>
      </c>
      <c r="K132" s="6" t="s">
        <v>164</v>
      </c>
      <c r="L132" s="7"/>
      <c r="M132" s="7" t="s">
        <v>165</v>
      </c>
      <c r="N132" s="7" t="s">
        <v>166</v>
      </c>
      <c r="O132" s="7"/>
    </row>
    <row r="133" customFormat="false" ht="35.05" hidden="false" customHeight="false" outlineLevel="0" collapsed="false">
      <c r="A133" s="6" t="s">
        <v>573</v>
      </c>
      <c r="B133" s="6" t="s">
        <v>570</v>
      </c>
      <c r="C133" s="7" t="s">
        <v>34</v>
      </c>
      <c r="D133" s="7" t="s">
        <v>58</v>
      </c>
      <c r="E133" s="7" t="n">
        <v>2016</v>
      </c>
      <c r="F133" s="6" t="s">
        <v>574</v>
      </c>
      <c r="G133" s="6" t="s">
        <v>575</v>
      </c>
      <c r="H133" s="8" t="s">
        <v>576</v>
      </c>
      <c r="I133" s="6" t="s">
        <v>69</v>
      </c>
      <c r="J133" s="6" t="s">
        <v>39</v>
      </c>
      <c r="K133" s="7" t="s">
        <v>40</v>
      </c>
      <c r="L133" s="7"/>
      <c r="M133" s="7" t="s">
        <v>225</v>
      </c>
      <c r="N133" s="6" t="s">
        <v>577</v>
      </c>
      <c r="O133" s="7"/>
    </row>
    <row r="134" customFormat="false" ht="26.85" hidden="false" customHeight="false" outlineLevel="0" collapsed="false">
      <c r="A134" s="6" t="s">
        <v>578</v>
      </c>
      <c r="B134" s="6" t="s">
        <v>570</v>
      </c>
      <c r="C134" s="7" t="s">
        <v>83</v>
      </c>
      <c r="D134" s="7" t="s">
        <v>65</v>
      </c>
      <c r="E134" s="7" t="n">
        <v>2013</v>
      </c>
      <c r="F134" s="6" t="s">
        <v>579</v>
      </c>
      <c r="G134" s="6" t="s">
        <v>198</v>
      </c>
      <c r="H134" s="8" t="s">
        <v>580</v>
      </c>
      <c r="I134" s="6" t="s">
        <v>69</v>
      </c>
      <c r="J134" s="6" t="s">
        <v>39</v>
      </c>
      <c r="K134" s="6" t="s">
        <v>164</v>
      </c>
      <c r="L134" s="7"/>
      <c r="M134" s="7" t="s">
        <v>165</v>
      </c>
      <c r="N134" s="7" t="s">
        <v>166</v>
      </c>
      <c r="O134" s="7"/>
    </row>
    <row r="135" customFormat="false" ht="26.85" hidden="false" customHeight="false" outlineLevel="0" collapsed="false">
      <c r="A135" s="6" t="s">
        <v>581</v>
      </c>
      <c r="B135" s="6" t="s">
        <v>570</v>
      </c>
      <c r="C135" s="7" t="s">
        <v>84</v>
      </c>
      <c r="D135" s="7" t="s">
        <v>34</v>
      </c>
      <c r="E135" s="7" t="n">
        <v>2015</v>
      </c>
      <c r="F135" s="6" t="s">
        <v>582</v>
      </c>
      <c r="G135" s="6" t="s">
        <v>250</v>
      </c>
      <c r="H135" s="8" t="s">
        <v>583</v>
      </c>
      <c r="I135" s="6" t="s">
        <v>69</v>
      </c>
      <c r="J135" s="6" t="s">
        <v>39</v>
      </c>
      <c r="K135" s="6" t="s">
        <v>164</v>
      </c>
      <c r="L135" s="7"/>
      <c r="M135" s="7" t="s">
        <v>165</v>
      </c>
      <c r="N135" s="7" t="s">
        <v>166</v>
      </c>
      <c r="O135" s="7"/>
    </row>
    <row r="136" customFormat="false" ht="26.85" hidden="false" customHeight="false" outlineLevel="0" collapsed="false">
      <c r="A136" s="6" t="s">
        <v>584</v>
      </c>
      <c r="B136" s="6" t="s">
        <v>570</v>
      </c>
      <c r="C136" s="7" t="s">
        <v>58</v>
      </c>
      <c r="D136" s="7" t="s">
        <v>74</v>
      </c>
      <c r="E136" s="7" t="n">
        <v>2015</v>
      </c>
      <c r="F136" s="6" t="s">
        <v>585</v>
      </c>
      <c r="G136" s="6" t="s">
        <v>250</v>
      </c>
      <c r="H136" s="8" t="s">
        <v>586</v>
      </c>
      <c r="I136" s="6" t="s">
        <v>69</v>
      </c>
      <c r="J136" s="6" t="s">
        <v>39</v>
      </c>
      <c r="K136" s="7" t="s">
        <v>204</v>
      </c>
      <c r="L136" s="7"/>
      <c r="M136" s="7" t="s">
        <v>165</v>
      </c>
      <c r="N136" s="7" t="s">
        <v>166</v>
      </c>
      <c r="O136" s="7"/>
    </row>
    <row r="137" customFormat="false" ht="23.85" hidden="false" customHeight="false" outlineLevel="0" collapsed="false">
      <c r="A137" s="6" t="s">
        <v>587</v>
      </c>
      <c r="B137" s="6" t="s">
        <v>570</v>
      </c>
      <c r="C137" s="7" t="s">
        <v>74</v>
      </c>
      <c r="D137" s="7" t="s">
        <v>64</v>
      </c>
      <c r="E137" s="7" t="n">
        <v>2018</v>
      </c>
      <c r="F137" s="6" t="s">
        <v>588</v>
      </c>
      <c r="G137" s="6" t="s">
        <v>589</v>
      </c>
      <c r="H137" s="8" t="s">
        <v>590</v>
      </c>
      <c r="I137" s="6" t="s">
        <v>69</v>
      </c>
      <c r="J137" s="6" t="s">
        <v>53</v>
      </c>
      <c r="K137" s="7" t="s">
        <v>40</v>
      </c>
      <c r="L137" s="7"/>
      <c r="M137" s="7" t="s">
        <v>225</v>
      </c>
      <c r="N137" s="6" t="s">
        <v>591</v>
      </c>
      <c r="O137" s="7"/>
    </row>
    <row r="138" customFormat="false" ht="26.85" hidden="false" customHeight="false" outlineLevel="0" collapsed="false">
      <c r="A138" s="6" t="s">
        <v>592</v>
      </c>
      <c r="B138" s="6" t="s">
        <v>570</v>
      </c>
      <c r="C138" s="7" t="s">
        <v>64</v>
      </c>
      <c r="D138" s="7" t="s">
        <v>75</v>
      </c>
      <c r="E138" s="7" t="n">
        <v>2020</v>
      </c>
      <c r="F138" s="6" t="s">
        <v>593</v>
      </c>
      <c r="G138" s="6" t="s">
        <v>594</v>
      </c>
      <c r="H138" s="8" t="s">
        <v>595</v>
      </c>
      <c r="I138" s="6" t="s">
        <v>69</v>
      </c>
      <c r="J138" s="6" t="s">
        <v>53</v>
      </c>
      <c r="K138" s="6" t="s">
        <v>164</v>
      </c>
      <c r="L138" s="7"/>
      <c r="M138" s="7" t="s">
        <v>165</v>
      </c>
      <c r="N138" s="7" t="s">
        <v>166</v>
      </c>
      <c r="O138" s="7"/>
    </row>
    <row r="139" customFormat="false" ht="26.85" hidden="false" customHeight="false" outlineLevel="0" collapsed="false">
      <c r="A139" s="6" t="s">
        <v>596</v>
      </c>
      <c r="B139" s="6" t="s">
        <v>570</v>
      </c>
      <c r="C139" s="7" t="s">
        <v>75</v>
      </c>
      <c r="D139" s="7" t="s">
        <v>84</v>
      </c>
      <c r="E139" s="7" t="n">
        <v>2026</v>
      </c>
      <c r="F139" s="6" t="s">
        <v>597</v>
      </c>
      <c r="G139" s="6" t="s">
        <v>296</v>
      </c>
      <c r="H139" s="8" t="s">
        <v>598</v>
      </c>
      <c r="I139" s="6" t="s">
        <v>69</v>
      </c>
      <c r="J139" s="6" t="s">
        <v>53</v>
      </c>
      <c r="K139" s="7" t="s">
        <v>40</v>
      </c>
      <c r="L139" s="7"/>
      <c r="M139" s="7" t="s">
        <v>165</v>
      </c>
      <c r="N139" s="7" t="s">
        <v>166</v>
      </c>
      <c r="O139" s="7"/>
    </row>
    <row r="140" customFormat="false" ht="26.85" hidden="false" customHeight="false" outlineLevel="0" collapsed="false">
      <c r="A140" s="6" t="s">
        <v>599</v>
      </c>
      <c r="B140" s="6" t="s">
        <v>600</v>
      </c>
      <c r="C140" s="7" t="s">
        <v>75</v>
      </c>
      <c r="D140" s="7" t="s">
        <v>84</v>
      </c>
      <c r="E140" s="7" t="n">
        <v>2019</v>
      </c>
      <c r="F140" s="6" t="s">
        <v>601</v>
      </c>
      <c r="G140" s="6" t="s">
        <v>602</v>
      </c>
      <c r="H140" s="8" t="s">
        <v>603</v>
      </c>
      <c r="I140" s="6" t="s">
        <v>69</v>
      </c>
      <c r="J140" s="6" t="s">
        <v>39</v>
      </c>
      <c r="K140" s="7" t="s">
        <v>40</v>
      </c>
      <c r="L140" s="7"/>
      <c r="M140" s="7" t="s">
        <v>165</v>
      </c>
      <c r="N140" s="7" t="s">
        <v>166</v>
      </c>
      <c r="O140" s="7"/>
    </row>
    <row r="141" customFormat="false" ht="26.85" hidden="false" customHeight="false" outlineLevel="0" collapsed="false">
      <c r="A141" s="6" t="s">
        <v>604</v>
      </c>
      <c r="B141" s="6" t="s">
        <v>600</v>
      </c>
      <c r="C141" s="7" t="s">
        <v>65</v>
      </c>
      <c r="D141" s="7" t="s">
        <v>83</v>
      </c>
      <c r="E141" s="7" t="n">
        <v>2016</v>
      </c>
      <c r="F141" s="6" t="s">
        <v>605</v>
      </c>
      <c r="G141" s="6" t="s">
        <v>219</v>
      </c>
      <c r="H141" s="8" t="s">
        <v>606</v>
      </c>
      <c r="I141" s="6" t="s">
        <v>69</v>
      </c>
      <c r="J141" s="6" t="s">
        <v>39</v>
      </c>
      <c r="K141" s="7" t="s">
        <v>441</v>
      </c>
      <c r="L141" s="7"/>
      <c r="M141" s="7" t="s">
        <v>165</v>
      </c>
      <c r="N141" s="7" t="s">
        <v>166</v>
      </c>
      <c r="O141" s="7"/>
    </row>
    <row r="142" customFormat="false" ht="26.85" hidden="false" customHeight="false" outlineLevel="0" collapsed="false">
      <c r="A142" s="6" t="s">
        <v>607</v>
      </c>
      <c r="B142" s="6" t="s">
        <v>600</v>
      </c>
      <c r="C142" s="7" t="s">
        <v>74</v>
      </c>
      <c r="D142" s="7" t="s">
        <v>64</v>
      </c>
      <c r="E142" s="7" t="n">
        <v>2017</v>
      </c>
      <c r="F142" s="6" t="s">
        <v>608</v>
      </c>
      <c r="G142" s="6" t="s">
        <v>162</v>
      </c>
      <c r="H142" s="8" t="s">
        <v>609</v>
      </c>
      <c r="I142" s="6" t="s">
        <v>69</v>
      </c>
      <c r="J142" s="6" t="s">
        <v>39</v>
      </c>
      <c r="K142" s="7" t="s">
        <v>40</v>
      </c>
      <c r="L142" s="7"/>
      <c r="M142" s="7" t="s">
        <v>165</v>
      </c>
      <c r="N142" s="7" t="s">
        <v>166</v>
      </c>
      <c r="O142" s="7"/>
    </row>
    <row r="143" customFormat="false" ht="26.85" hidden="false" customHeight="false" outlineLevel="0" collapsed="false">
      <c r="A143" s="6" t="s">
        <v>610</v>
      </c>
      <c r="B143" s="6" t="s">
        <v>600</v>
      </c>
      <c r="C143" s="7" t="s">
        <v>83</v>
      </c>
      <c r="D143" s="7" t="s">
        <v>65</v>
      </c>
      <c r="E143" s="7" t="n">
        <v>2020</v>
      </c>
      <c r="F143" s="6" t="s">
        <v>611</v>
      </c>
      <c r="G143" s="6" t="s">
        <v>162</v>
      </c>
      <c r="H143" s="8" t="s">
        <v>612</v>
      </c>
      <c r="I143" s="6" t="s">
        <v>69</v>
      </c>
      <c r="J143" s="6" t="s">
        <v>39</v>
      </c>
      <c r="K143" s="6" t="s">
        <v>164</v>
      </c>
      <c r="L143" s="7"/>
      <c r="M143" s="7" t="s">
        <v>165</v>
      </c>
      <c r="N143" s="7" t="s">
        <v>166</v>
      </c>
      <c r="O143" s="7"/>
    </row>
    <row r="144" customFormat="false" ht="23.85" hidden="false" customHeight="false" outlineLevel="0" collapsed="false">
      <c r="A144" s="6" t="s">
        <v>613</v>
      </c>
      <c r="B144" s="6" t="s">
        <v>600</v>
      </c>
      <c r="C144" s="7" t="s">
        <v>84</v>
      </c>
      <c r="D144" s="7" t="s">
        <v>34</v>
      </c>
      <c r="E144" s="7" t="n">
        <v>2020</v>
      </c>
      <c r="F144" s="6" t="s">
        <v>614</v>
      </c>
      <c r="G144" s="6" t="s">
        <v>250</v>
      </c>
      <c r="H144" s="8" t="s">
        <v>615</v>
      </c>
      <c r="I144" s="6" t="s">
        <v>69</v>
      </c>
      <c r="J144" s="6" t="s">
        <v>39</v>
      </c>
      <c r="K144" s="6" t="s">
        <v>164</v>
      </c>
      <c r="L144" s="7"/>
      <c r="M144" s="7" t="s">
        <v>42</v>
      </c>
      <c r="N144" s="6" t="s">
        <v>616</v>
      </c>
      <c r="O144" s="7"/>
    </row>
    <row r="145" customFormat="false" ht="23.85" hidden="false" customHeight="false" outlineLevel="0" collapsed="false">
      <c r="A145" s="6" t="s">
        <v>617</v>
      </c>
      <c r="B145" s="6" t="s">
        <v>600</v>
      </c>
      <c r="C145" s="7" t="s">
        <v>58</v>
      </c>
      <c r="D145" s="7" t="s">
        <v>74</v>
      </c>
      <c r="E145" s="7" t="n">
        <v>2021</v>
      </c>
      <c r="F145" s="6" t="s">
        <v>618</v>
      </c>
      <c r="G145" s="6" t="s">
        <v>267</v>
      </c>
      <c r="H145" s="8" t="s">
        <v>619</v>
      </c>
      <c r="I145" s="6" t="s">
        <v>69</v>
      </c>
      <c r="J145" s="6" t="s">
        <v>39</v>
      </c>
      <c r="K145" s="7" t="s">
        <v>40</v>
      </c>
      <c r="L145" s="7"/>
      <c r="M145" s="7" t="s">
        <v>42</v>
      </c>
      <c r="N145" s="6" t="s">
        <v>620</v>
      </c>
      <c r="O145" s="7"/>
    </row>
    <row r="146" customFormat="false" ht="23.85" hidden="false" customHeight="false" outlineLevel="0" collapsed="false">
      <c r="A146" s="6" t="s">
        <v>621</v>
      </c>
      <c r="B146" s="6" t="s">
        <v>600</v>
      </c>
      <c r="C146" s="7" t="s">
        <v>64</v>
      </c>
      <c r="D146" s="7" t="s">
        <v>75</v>
      </c>
      <c r="E146" s="7" t="n">
        <v>2023</v>
      </c>
      <c r="F146" s="6" t="s">
        <v>622</v>
      </c>
      <c r="G146" s="6" t="s">
        <v>623</v>
      </c>
      <c r="H146" s="8" t="s">
        <v>624</v>
      </c>
      <c r="I146" s="6" t="s">
        <v>69</v>
      </c>
      <c r="J146" s="6" t="s">
        <v>39</v>
      </c>
      <c r="K146" s="7" t="s">
        <v>247</v>
      </c>
      <c r="L146" s="7"/>
      <c r="M146" s="7" t="s">
        <v>225</v>
      </c>
      <c r="N146" s="6" t="s">
        <v>625</v>
      </c>
      <c r="O146" s="7"/>
    </row>
    <row r="147" customFormat="false" ht="23.85" hidden="false" customHeight="false" outlineLevel="0" collapsed="false">
      <c r="A147" s="6" t="s">
        <v>626</v>
      </c>
      <c r="B147" s="6" t="s">
        <v>600</v>
      </c>
      <c r="C147" s="7" t="s">
        <v>34</v>
      </c>
      <c r="D147" s="7" t="s">
        <v>58</v>
      </c>
      <c r="E147" s="7" t="n">
        <v>2023</v>
      </c>
      <c r="F147" s="6" t="s">
        <v>627</v>
      </c>
      <c r="G147" s="6" t="s">
        <v>330</v>
      </c>
      <c r="H147" s="8" t="s">
        <v>628</v>
      </c>
      <c r="I147" s="6" t="s">
        <v>69</v>
      </c>
      <c r="J147" s="6" t="s">
        <v>39</v>
      </c>
      <c r="K147" s="7" t="s">
        <v>40</v>
      </c>
      <c r="L147" s="7"/>
      <c r="M147" s="7" t="s">
        <v>42</v>
      </c>
      <c r="N147" s="6" t="s">
        <v>629</v>
      </c>
      <c r="O147" s="7"/>
    </row>
    <row r="148" customFormat="false" ht="26.85" hidden="false" customHeight="false" outlineLevel="0" collapsed="false">
      <c r="A148" s="6" t="s">
        <v>630</v>
      </c>
      <c r="B148" s="6" t="s">
        <v>631</v>
      </c>
      <c r="C148" s="7" t="s">
        <v>64</v>
      </c>
      <c r="D148" s="7" t="s">
        <v>75</v>
      </c>
      <c r="E148" s="7" t="n">
        <v>2024</v>
      </c>
      <c r="F148" s="6" t="s">
        <v>632</v>
      </c>
      <c r="G148" s="6" t="s">
        <v>219</v>
      </c>
      <c r="H148" s="8" t="s">
        <v>633</v>
      </c>
      <c r="I148" s="6" t="s">
        <v>69</v>
      </c>
      <c r="J148" s="6" t="s">
        <v>39</v>
      </c>
      <c r="K148" s="6" t="s">
        <v>164</v>
      </c>
      <c r="L148" s="7"/>
      <c r="M148" s="7" t="s">
        <v>165</v>
      </c>
      <c r="N148" s="7" t="s">
        <v>166</v>
      </c>
      <c r="O148" s="7"/>
    </row>
    <row r="149" customFormat="false" ht="26.85" hidden="false" customHeight="false" outlineLevel="0" collapsed="false">
      <c r="A149" s="6" t="s">
        <v>634</v>
      </c>
      <c r="B149" s="6" t="s">
        <v>631</v>
      </c>
      <c r="C149" s="7" t="s">
        <v>65</v>
      </c>
      <c r="D149" s="7" t="s">
        <v>83</v>
      </c>
      <c r="E149" s="7" t="n">
        <v>2026</v>
      </c>
      <c r="F149" s="6" t="s">
        <v>635</v>
      </c>
      <c r="G149" s="6" t="s">
        <v>307</v>
      </c>
      <c r="H149" s="8" t="s">
        <v>636</v>
      </c>
      <c r="I149" s="6" t="s">
        <v>69</v>
      </c>
      <c r="J149" s="6" t="s">
        <v>39</v>
      </c>
      <c r="K149" s="7" t="s">
        <v>40</v>
      </c>
      <c r="L149" s="7"/>
      <c r="M149" s="7" t="s">
        <v>165</v>
      </c>
      <c r="N149" s="7" t="s">
        <v>166</v>
      </c>
      <c r="O149" s="7"/>
    </row>
  </sheetData>
  <autoFilter ref="A1:O149"/>
  <hyperlinks>
    <hyperlink ref="H2" r:id="rId1" display="https://doi.org/10.38100/jhuf.2021.6.2.53"/>
    <hyperlink ref="H3" r:id="rId2" display="https://doi.org/10.24957/hsr.2019.27.1.05"/>
    <hyperlink ref="H4" r:id="rId3" display="https://doi.org/10.14801/jkiit.2023.21.10.37"/>
    <hyperlink ref="H5" r:id="rId4" display="https://doi.org/10.1080/12265934.2016.1239548"/>
    <hyperlink ref="H6" r:id="rId5" display="https://doi.org/10.24957/hsr.2017.25.3.01"/>
    <hyperlink ref="H7" r:id="rId6" display="https://doi.org/10.22313/reik.2018.16.2.411"/>
    <hyperlink ref="H8" r:id="rId7" display="https://doi.org/10.22313/reik.2019.17.4.31"/>
    <hyperlink ref="H9" r:id="rId8" display="https://doi.org/10.32989/rel.2020.24.2.53"/>
    <hyperlink ref="H10" r:id="rId9" display="https://doi.org/10.22143/hss21.14.2.27"/>
    <hyperlink ref="H11" r:id="rId10" display="https://doi.org/10.5626/ktcp.2026.32.3.89"/>
    <hyperlink ref="H12" r:id="rId11" display="https://doi.org/10.21447/jup.2019.10.3.101"/>
    <hyperlink ref="H13" r:id="rId12" display="https://doi.org/10.24957/hsr.2026.34.2.101"/>
    <hyperlink ref="H14" r:id="rId13" display="https://doi.org/10.24957/hsr.2026.34.3.267"/>
    <hyperlink ref="H15" r:id="rId14" display="https://doi.org/10.15793/kspr.2009.62..006"/>
    <hyperlink ref="H16" r:id="rId15" display="https://doi.org/10.15793/kspr.2011.69..001"/>
    <hyperlink ref="H17" r:id="rId16" display="https://doi.org/10.18032/kaaba.2017.30.11.1935"/>
    <hyperlink ref="H18" r:id="rId17" display="https://doi.org/10.26700/shuri.2018.12.8.3.51"/>
    <hyperlink ref="H19" r:id="rId18" display="https://doi.org/10.30902/jrea.2018.4.1.85"/>
    <hyperlink ref="H20" r:id="rId19" display="https://doi.org/10.15793/kspr.2018.97..001"/>
    <hyperlink ref="H21" r:id="rId20" display="https://doi.org/10.37103/kapp.21.3.2"/>
    <hyperlink ref="H22" r:id="rId21" display="https://doi.org/10.22313/reik.2020.18.1.21"/>
    <hyperlink ref="H23" r:id="rId22" display="https://doi.org/10.31303/krear.2020.83.53"/>
    <hyperlink ref="H24" r:id="rId23" display="https://doi.org/10.19172/kreaa.26.3.8"/>
    <hyperlink ref="H25" r:id="rId24" display="https://doi.org/10.5762/kais.2022.23.3.273"/>
    <hyperlink ref="H26" r:id="rId25" display="https://doi.org/10.37407/kres.2024.42.1.211"/>
    <hyperlink ref="H27" r:id="rId26" display="https://doi.org/10.5392/jkca.2024.24.01.621"/>
    <hyperlink ref="H28" r:id="rId27" display="https://doi.org/10.1111/1540-6229.00463"/>
    <hyperlink ref="H29" r:id="rId28" display="https://doi.org/10.1111/1540-6229.00514"/>
    <hyperlink ref="H30" r:id="rId29" display="https://doi.org/10.1080/10835547.2010.12091669"/>
    <hyperlink ref="H31" r:id="rId30" display="https://doi.org/10.1080/14445921.2012.11104370"/>
    <hyperlink ref="H32" r:id="rId31" display="https://doi.org/10.1057/jors.2011.74"/>
    <hyperlink ref="H34" r:id="rId32" display="https://doi.org/10.37407/kres.2026.44.3.315"/>
    <hyperlink ref="H35" r:id="rId33" display="https://doi.org/10.52344/hfr.2026.10.1.133"/>
    <hyperlink ref="H36" r:id="rId34" display="https://doi.org/10.1080/10835547.1994.12090750"/>
    <hyperlink ref="H37" r:id="rId35" display="https://doi.org/10.1068/a35170"/>
    <hyperlink ref="H38" r:id="rId36" display="https://doi.org/10.1111/j.1540-6229.2006.00171.x"/>
    <hyperlink ref="H39" r:id="rId37" display="https://doi.org/10.1080/10835547.2007.12091978"/>
    <hyperlink ref="H40" r:id="rId38" display="https://doi.org/10.1016/j.knosys.2020.106417"/>
    <hyperlink ref="H41" r:id="rId39" display="https://doi.org/10.1108/ijhma-06-2020-0071"/>
    <hyperlink ref="H42" r:id="rId40" display="https://doi.org/10.36108/ujees/2202.40.0210"/>
    <hyperlink ref="H43" r:id="rId41" display="https://doi.org/10.1016/j.jue.2019.04.005"/>
    <hyperlink ref="H44" r:id="rId42" display="https://doi.org/10.1080/10835547.2009.12092005"/>
    <hyperlink ref="H45" r:id="rId43" display="https://doi.org/10.1016/j.regsciurbeco.2011.08.010"/>
    <hyperlink ref="H46" r:id="rId44" display="https://doi.org/10.1111/1756-2171.12022"/>
    <hyperlink ref="H47" r:id="rId45" display="https://doi.org/10.1177/0042098014529341"/>
    <hyperlink ref="H48" r:id="rId46" display="https://doi.org/10.1007/s11146-013-9450-z"/>
    <hyperlink ref="H49" r:id="rId47" display="https://doi.org/10.3846/1648715x.2015.1072746"/>
    <hyperlink ref="H50" r:id="rId48" display="https://doi.org/10.1007/s11146-015-9503-6"/>
    <hyperlink ref="H51" r:id="rId49" display="https://doi.org/10.1111/1540-6229.12121"/>
    <hyperlink ref="H52" r:id="rId50" display="https://doi.org/10.53383/100144"/>
    <hyperlink ref="H53" r:id="rId51" display="https://doi.org/10.1177/0042098015596923"/>
    <hyperlink ref="H54" r:id="rId52" display="https://doi.org/10.1080/08965803.2020.1844476"/>
    <hyperlink ref="H55" r:id="rId53" display="https://doi.org/10.1515/jem-2020-0017"/>
    <hyperlink ref="H56" r:id="rId54" display="https://doi.org/10.5198/jtlu.2024.2447"/>
    <hyperlink ref="H57" r:id="rId55" display="https://doi.org/10.1061/jupddm.upeng-5857"/>
    <hyperlink ref="H58" r:id="rId56" display="https://doi.org/10.1111/1540-6229.00038"/>
    <hyperlink ref="H59" r:id="rId57" display="https://doi.org/10.1016/j.regsciurbeco.2013.03.001"/>
    <hyperlink ref="H60" r:id="rId58" display="https://doi.org/10.1016/j.jhe.2018.09.009"/>
    <hyperlink ref="H61" r:id="rId59" display="https://doi.org/10.1111/boer.12284"/>
    <hyperlink ref="H62" r:id="rId60" display="https://doi.org/10.3846/ijspm.2025.23319"/>
    <hyperlink ref="H63" r:id="rId61" display="https://doi.org/10.1108/jerer-12-2025-0098"/>
    <hyperlink ref="H64" r:id="rId62" display="https://doi.org/10.1108/17539260910978481"/>
    <hyperlink ref="H65" r:id="rId63" display="https://doi.org/10.1108/17538271311306048"/>
    <hyperlink ref="H66" r:id="rId64" display="https://doi.org/10.1007/s11146-016-9558-z"/>
    <hyperlink ref="H67" r:id="rId65" display="https://doi.org/10.1111/jfir.12308"/>
    <hyperlink ref="H68" r:id="rId66" display="https://doi.org/10.1177/0042098010363496"/>
    <hyperlink ref="H69" r:id="rId67" display="https://doi.org/10.1515/remav-2015-0021"/>
    <hyperlink ref="H70" r:id="rId68" display="https://doi.org/10.1111/1475-4932.12242"/>
    <hyperlink ref="H71" r:id="rId69" display="https://doi.org/10.1162/rest_a_00634"/>
    <hyperlink ref="H72" r:id="rId70" display="https://doi.org/10.1016/j.jhe.2020.101715"/>
    <hyperlink ref="H73" r:id="rId71" display="https://doi.org/10.2478/jos-2022-0017"/>
    <hyperlink ref="H74" r:id="rId72" display="https://doi.org/10.1016/j.jhe.2022.101906"/>
    <hyperlink ref="H75" r:id="rId73" display="https://doi.org/10.1007/s11146-020-09815-z"/>
    <hyperlink ref="H76" r:id="rId74" display="https://doi.org/10.1111/1540-6229.00410"/>
    <hyperlink ref="H77" r:id="rId75" display="https://doi.org/10.1016/j.jue.2004.05.004"/>
    <hyperlink ref="H78" r:id="rId76" display="https://doi.org/10.1016/j.frl.2018.10.004"/>
    <hyperlink ref="H79" r:id="rId77" display="https://doi.org/10.1111/1540-6229.70013"/>
    <hyperlink ref="H80" r:id="rId78" display="https://doi.org/10.1111/j.1080-8620.2004.00106.x"/>
    <hyperlink ref="H81" r:id="rId79" display="https://doi.org/10.1007/s10901-005-6762-1"/>
    <hyperlink ref="H82" r:id="rId80" display="https://doi.org/10.1111/reec.12003"/>
    <hyperlink ref="H83" r:id="rId81" display="https://doi.org/10.1080/1331677x.2018.1429289"/>
    <hyperlink ref="H84" r:id="rId82" display="https://doi.org/10.1080/10527001.2020.1776513"/>
    <hyperlink ref="H85" r:id="rId83" display="https://doi.org/10.1080/10835547.2012.12092059"/>
    <hyperlink ref="H86" r:id="rId84" display="https://doi.org/10.1111/1540-6229.12082"/>
    <hyperlink ref="H87" r:id="rId85" display="https://doi.org/10.1080/00036846.2015.1023943"/>
    <hyperlink ref="H88" r:id="rId86" display="https://doi.org/10.1016/j.landusepol.2016.05.008"/>
    <hyperlink ref="H89" r:id="rId87" display="https://doi.org/10.1108/ijhma-02-2020-0017"/>
    <hyperlink ref="H90" r:id="rId88" display="https://doi.org/10.1007/s11573-020-00990-2"/>
    <hyperlink ref="H91" r:id="rId89" display="https://doi.org/10.1016/j.regsciurbeco.2024.103997"/>
    <hyperlink ref="H92" r:id="rId90" display="https://doi.org/10.1111/reec.12015"/>
    <hyperlink ref="H93" r:id="rId91" display="https://doi.org/10.1007/s11146-019-09714-y"/>
    <hyperlink ref="H94" r:id="rId92" display="https://doi.org/10.3390/buildings14051471"/>
    <hyperlink ref="H95" r:id="rId93" display="https://doi.org/10.1007/s10660-026-10107-6"/>
    <hyperlink ref="H96" r:id="rId94" display="https://doi.org/10.1006/jhec.1995.1005"/>
    <hyperlink ref="H97" r:id="rId95" display="https://doi.org/10.1007/bf01099111"/>
    <hyperlink ref="H98" r:id="rId96" display="https://doi.org/10.1111/infi.12408"/>
    <hyperlink ref="H99" r:id="rId97" display="https://doi.org/10.1007/s11146-026-10080-9"/>
    <hyperlink ref="H100" r:id="rId98" display="https://doi.org/10.1162/003465306775565783"/>
    <hyperlink ref="H101" r:id="rId99" display="https://doi.org/10.1016/j.regsciurbeco.2016.04.001"/>
    <hyperlink ref="H102" r:id="rId100" display="https://doi.org/10.48264/vvsiev-20223102"/>
    <hyperlink ref="H103" r:id="rId101" display="https://doi.org/10.1007/bf00217392"/>
    <hyperlink ref="H104" r:id="rId102" display="https://doi.org/10.1023/a:1007718725609"/>
    <hyperlink ref="H105" r:id="rId103" display="https://doi.org/10.1080/10835547.2002.12091081"/>
    <hyperlink ref="H106" r:id="rId104" display="https://doi.org/10.1080/09599910802696615"/>
    <hyperlink ref="H107" r:id="rId105" display="https://doi.org/10.1111/1540-6229.12269"/>
    <hyperlink ref="H108" r:id="rId106" display="https://doi.org/10.1108/17538271011049731"/>
    <hyperlink ref="H109" r:id="rId107" display="https://doi.org/10.1016/j.jhe.2013.01.003"/>
    <hyperlink ref="H110" r:id="rId108" display="https://doi.org/10.1007/s11146-008-9161-z"/>
    <hyperlink ref="H111" r:id="rId109" display="https://doi.org/10.1007/s11146-009-9207-x"/>
    <hyperlink ref="H112" r:id="rId110" display="https://doi.org/10.1080/10835547.2010.12092026"/>
    <hyperlink ref="H113" r:id="rId111" display="https://doi.org/10.1111/j.1540-6229.2010.00292.x"/>
    <hyperlink ref="H114" r:id="rId112" display="https://doi.org/10.1007/s11146-012-9375-y"/>
    <hyperlink ref="H115" r:id="rId113" display="https://doi.org/10.1016/j.jhe.2013.02.001"/>
    <hyperlink ref="H116" r:id="rId114" display="https://doi.org/10.1016/j.regsciurbeco.2012.07.002"/>
    <hyperlink ref="H117" r:id="rId115" display="https://doi.org/10.17092/jibr.2013.10.1.159"/>
    <hyperlink ref="H118" r:id="rId116" display="https://doi.org/10.1016/j.econmod.2014.03.026"/>
    <hyperlink ref="H119" r:id="rId117" display="https://doi.org/10.1016/j.jhe.2015.04.003"/>
    <hyperlink ref="H120" r:id="rId118" display="https://doi.org/10.3846/ijspm.2018.5219"/>
    <hyperlink ref="H121" r:id="rId119" display="https://doi.org/10.1007/s00168-018-0870-9"/>
    <hyperlink ref="H122" r:id="rId120" display="https://doi.org/10.1080/12265934.2021.1925142"/>
    <hyperlink ref="H123" r:id="rId121" display="https://doi.org/10.1108/ecam-10-2020-0850"/>
    <hyperlink ref="H124" r:id="rId122" display="https://doi.org/10.1016/j.jempfin.2021.10.003"/>
    <hyperlink ref="H125" r:id="rId123" display="https://doi.org/10.1111/1540-6229.12463"/>
    <hyperlink ref="H126" r:id="rId124" display="https://doi.org/10.1108/ijhma-08-2023-0113"/>
    <hyperlink ref="H127" r:id="rId125" display="https://doi.org/10.1108/ijhma-09-2023-0118"/>
    <hyperlink ref="H128" r:id="rId126" display="https://doi.org/10.26650/istjecon2025-1707729"/>
    <hyperlink ref="H129" r:id="rId127" display="https://doi.org/10.1111/fire.70004"/>
    <hyperlink ref="H130" r:id="rId128" display="https://doi.org/10.1098/rsfs.2025.0069"/>
    <hyperlink ref="H131" r:id="rId129" display="https://doi.org/10.4236/jfrm.2026.152007"/>
    <hyperlink ref="H132" r:id="rId130" display="https://doi.org/10.1111/j.1540-6229.2012.00329.x"/>
    <hyperlink ref="H133" r:id="rId131" display="https://doi.org/10.1080/14036096.2016.1196240"/>
    <hyperlink ref="H134" r:id="rId132" display="https://doi.org/10.1080/10835547.2013.12091364"/>
    <hyperlink ref="H135" r:id="rId133" display="https://doi.org/10.1007/s11146-014-9493-9"/>
    <hyperlink ref="H136" r:id="rId134" display="https://doi.org/10.1007/s11146-015-9496-1"/>
    <hyperlink ref="H137" r:id="rId135" display="https://doi.org/10.1140/epjds/s13688-018-0176-2"/>
    <hyperlink ref="H138" r:id="rId136" display="https://doi.org/10.1257/aer.20141772"/>
    <hyperlink ref="H139" r:id="rId137" display="https://doi.org/10.1016/j.jhe.2026.102163"/>
    <hyperlink ref="H140" r:id="rId138" display="https://doi.org/10.1007/s12205-019-1926-9"/>
    <hyperlink ref="H141" r:id="rId139" display="https://doi.org/10.1108/ijhma-12-2014-0058"/>
    <hyperlink ref="H142" r:id="rId140" display="https://doi.org/10.1111/1540-6229.12187"/>
    <hyperlink ref="H143" r:id="rId141" display="https://doi.org/10.1111/1540-6229.12335"/>
    <hyperlink ref="H144" r:id="rId142" display="https://doi.org/10.1007/s11146-020-09789-y"/>
    <hyperlink ref="H145" r:id="rId143" display="https://doi.org/10.53383/100332"/>
    <hyperlink ref="H146" r:id="rId144" display="https://doi.org/10.1111/jofi.13208"/>
    <hyperlink ref="H147" r:id="rId145" display="https://doi.org/10.2478/remav-2023-0032"/>
    <hyperlink ref="H148" r:id="rId146" display="https://doi.org/10.1108/ijhma-12-2023-0166"/>
    <hyperlink ref="H149" r:id="rId147" display="https://doi.org/10.1108/jerer-07-2025-0060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48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3" min="2" style="0" width="11"/>
    <col collapsed="false" customWidth="true" hidden="false" outlineLevel="0" max="4" min="4" style="0" width="9"/>
    <col collapsed="false" customWidth="true" hidden="false" outlineLevel="0" max="5" min="5" style="0" width="16"/>
    <col collapsed="false" customWidth="true" hidden="false" outlineLevel="0" max="6" min="6" style="0" width="7"/>
    <col collapsed="false" customWidth="true" hidden="false" outlineLevel="0" max="8" min="7" style="0" width="6"/>
    <col collapsed="false" customWidth="true" hidden="false" outlineLevel="0" max="9" min="9" style="0" width="18"/>
    <col collapsed="false" customWidth="true" hidden="false" outlineLevel="0" max="10" min="10" style="0" width="6"/>
    <col collapsed="false" customWidth="true" hidden="false" outlineLevel="0" max="11" min="11" style="0" width="55"/>
    <col collapsed="false" customWidth="true" hidden="false" outlineLevel="0" max="12" min="12" style="0" width="26"/>
    <col collapsed="false" customWidth="true" hidden="false" outlineLevel="0" max="13" min="13" style="0" width="28"/>
    <col collapsed="false" customWidth="true" hidden="false" outlineLevel="0" max="14" min="14" style="0" width="12"/>
    <col collapsed="false" customWidth="true" hidden="false" outlineLevel="0" max="15" min="15" style="0" width="11"/>
    <col collapsed="false" customWidth="true" hidden="false" outlineLevel="0" max="17" min="16" style="0" width="9"/>
    <col collapsed="false" customWidth="true" hidden="false" outlineLevel="0" max="18" min="18" style="0" width="30"/>
  </cols>
  <sheetData>
    <row r="1" customFormat="false" ht="15" hidden="false" customHeight="false" outlineLevel="0" collapsed="false">
      <c r="A1" s="5" t="s">
        <v>17</v>
      </c>
      <c r="B1" s="5" t="s">
        <v>637</v>
      </c>
      <c r="C1" s="5" t="s">
        <v>638</v>
      </c>
      <c r="D1" s="5" t="s">
        <v>18</v>
      </c>
      <c r="E1" s="5" t="s">
        <v>639</v>
      </c>
      <c r="F1" s="4" t="s">
        <v>16</v>
      </c>
      <c r="G1" s="5" t="s">
        <v>24</v>
      </c>
      <c r="H1" s="5" t="s">
        <v>25</v>
      </c>
      <c r="I1" s="5" t="s">
        <v>26</v>
      </c>
      <c r="J1" s="5" t="s">
        <v>27</v>
      </c>
      <c r="K1" s="5" t="s">
        <v>21</v>
      </c>
      <c r="L1" s="5" t="s">
        <v>22</v>
      </c>
      <c r="M1" s="4" t="s">
        <v>23</v>
      </c>
      <c r="N1" s="5" t="s">
        <v>19</v>
      </c>
      <c r="O1" s="5" t="s">
        <v>640</v>
      </c>
      <c r="P1" s="5" t="s">
        <v>641</v>
      </c>
      <c r="Q1" s="5" t="s">
        <v>642</v>
      </c>
      <c r="R1" s="5" t="s">
        <v>643</v>
      </c>
    </row>
    <row r="2" customFormat="false" ht="23.85" hidden="false" customHeight="false" outlineLevel="0" collapsed="false">
      <c r="A2" s="9" t="s">
        <v>32</v>
      </c>
      <c r="B2" s="10" t="s">
        <v>644</v>
      </c>
      <c r="C2" s="10" t="s">
        <v>645</v>
      </c>
      <c r="D2" s="10" t="s">
        <v>33</v>
      </c>
      <c r="E2" s="9" t="s">
        <v>646</v>
      </c>
      <c r="F2" s="10" t="s">
        <v>31</v>
      </c>
      <c r="G2" s="10" t="s">
        <v>647</v>
      </c>
      <c r="H2" s="10" t="s">
        <v>648</v>
      </c>
      <c r="I2" s="9" t="s">
        <v>40</v>
      </c>
      <c r="J2" s="10" t="s">
        <v>41</v>
      </c>
      <c r="K2" s="10" t="s">
        <v>35</v>
      </c>
      <c r="L2" s="9" t="s">
        <v>649</v>
      </c>
      <c r="M2" s="10" t="s">
        <v>650</v>
      </c>
      <c r="N2" s="9" t="s">
        <v>34</v>
      </c>
      <c r="O2" s="10" t="s">
        <v>644</v>
      </c>
      <c r="P2" s="10" t="s">
        <v>651</v>
      </c>
      <c r="Q2" s="10" t="s">
        <v>651</v>
      </c>
      <c r="R2" s="9"/>
    </row>
    <row r="3" customFormat="false" ht="26.85" hidden="false" customHeight="false" outlineLevel="0" collapsed="false">
      <c r="A3" s="6" t="s">
        <v>46</v>
      </c>
      <c r="B3" s="6" t="s">
        <v>652</v>
      </c>
      <c r="C3" s="6" t="s">
        <v>653</v>
      </c>
      <c r="D3" s="7" t="s">
        <v>64</v>
      </c>
      <c r="E3" s="7" t="s">
        <v>654</v>
      </c>
      <c r="F3" s="6" t="s">
        <v>45</v>
      </c>
      <c r="G3" s="6" t="s">
        <v>655</v>
      </c>
      <c r="H3" s="6" t="s">
        <v>656</v>
      </c>
      <c r="I3" s="7" t="s">
        <v>40</v>
      </c>
      <c r="J3" s="6" t="s">
        <v>41</v>
      </c>
      <c r="K3" s="6" t="s">
        <v>49</v>
      </c>
      <c r="L3" s="6" t="s">
        <v>50</v>
      </c>
      <c r="M3" s="6" t="s">
        <v>657</v>
      </c>
      <c r="N3" s="7" t="s">
        <v>658</v>
      </c>
      <c r="O3" s="11"/>
      <c r="P3" s="11"/>
      <c r="Q3" s="11"/>
      <c r="R3" s="11"/>
    </row>
    <row r="4" customFormat="false" ht="26.85" hidden="false" customHeight="false" outlineLevel="0" collapsed="false">
      <c r="A4" s="6" t="s">
        <v>46</v>
      </c>
      <c r="B4" s="6" t="s">
        <v>652</v>
      </c>
      <c r="C4" s="6" t="s">
        <v>653</v>
      </c>
      <c r="D4" s="7" t="s">
        <v>65</v>
      </c>
      <c r="E4" s="7" t="s">
        <v>654</v>
      </c>
      <c r="F4" s="6" t="s">
        <v>45</v>
      </c>
      <c r="G4" s="6" t="s">
        <v>655</v>
      </c>
      <c r="H4" s="6" t="s">
        <v>656</v>
      </c>
      <c r="I4" s="7" t="s">
        <v>40</v>
      </c>
      <c r="J4" s="6" t="s">
        <v>41</v>
      </c>
      <c r="K4" s="6" t="s">
        <v>49</v>
      </c>
      <c r="L4" s="6" t="s">
        <v>50</v>
      </c>
      <c r="M4" s="6" t="s">
        <v>657</v>
      </c>
      <c r="N4" s="7" t="s">
        <v>658</v>
      </c>
      <c r="O4" s="11"/>
      <c r="P4" s="11"/>
      <c r="Q4" s="11"/>
      <c r="R4" s="11"/>
    </row>
    <row r="5" customFormat="false" ht="26.85" hidden="false" customHeight="false" outlineLevel="0" collapsed="false">
      <c r="A5" s="6" t="s">
        <v>46</v>
      </c>
      <c r="B5" s="6" t="s">
        <v>652</v>
      </c>
      <c r="C5" s="6" t="s">
        <v>653</v>
      </c>
      <c r="D5" s="7" t="s">
        <v>74</v>
      </c>
      <c r="E5" s="7" t="s">
        <v>654</v>
      </c>
      <c r="F5" s="6" t="s">
        <v>45</v>
      </c>
      <c r="G5" s="6" t="s">
        <v>655</v>
      </c>
      <c r="H5" s="6" t="s">
        <v>656</v>
      </c>
      <c r="I5" s="7" t="s">
        <v>40</v>
      </c>
      <c r="J5" s="6" t="s">
        <v>41</v>
      </c>
      <c r="K5" s="6" t="s">
        <v>49</v>
      </c>
      <c r="L5" s="6" t="s">
        <v>50</v>
      </c>
      <c r="M5" s="6" t="s">
        <v>657</v>
      </c>
      <c r="N5" s="7" t="s">
        <v>658</v>
      </c>
      <c r="O5" s="11"/>
      <c r="P5" s="11"/>
      <c r="Q5" s="11"/>
      <c r="R5" s="11"/>
    </row>
    <row r="6" customFormat="false" ht="26.85" hidden="false" customHeight="false" outlineLevel="0" collapsed="false">
      <c r="A6" s="6" t="s">
        <v>46</v>
      </c>
      <c r="B6" s="6" t="s">
        <v>652</v>
      </c>
      <c r="C6" s="6" t="s">
        <v>653</v>
      </c>
      <c r="D6" s="7" t="s">
        <v>75</v>
      </c>
      <c r="E6" s="7" t="s">
        <v>654</v>
      </c>
      <c r="F6" s="6" t="s">
        <v>45</v>
      </c>
      <c r="G6" s="6" t="s">
        <v>655</v>
      </c>
      <c r="H6" s="6" t="s">
        <v>656</v>
      </c>
      <c r="I6" s="7" t="s">
        <v>40</v>
      </c>
      <c r="J6" s="6" t="s">
        <v>41</v>
      </c>
      <c r="K6" s="6" t="s">
        <v>49</v>
      </c>
      <c r="L6" s="6" t="s">
        <v>50</v>
      </c>
      <c r="M6" s="6" t="s">
        <v>657</v>
      </c>
      <c r="N6" s="7" t="s">
        <v>658</v>
      </c>
      <c r="O6" s="11"/>
      <c r="P6" s="11"/>
      <c r="Q6" s="11"/>
      <c r="R6" s="11"/>
    </row>
    <row r="7" customFormat="false" ht="26.85" hidden="false" customHeight="false" outlineLevel="0" collapsed="false">
      <c r="A7" s="6" t="s">
        <v>46</v>
      </c>
      <c r="B7" s="6" t="s">
        <v>652</v>
      </c>
      <c r="C7" s="6" t="s">
        <v>653</v>
      </c>
      <c r="D7" s="7" t="s">
        <v>83</v>
      </c>
      <c r="E7" s="7" t="s">
        <v>654</v>
      </c>
      <c r="F7" s="6" t="s">
        <v>45</v>
      </c>
      <c r="G7" s="6" t="s">
        <v>655</v>
      </c>
      <c r="H7" s="6" t="s">
        <v>656</v>
      </c>
      <c r="I7" s="7" t="s">
        <v>40</v>
      </c>
      <c r="J7" s="6" t="s">
        <v>41</v>
      </c>
      <c r="K7" s="6" t="s">
        <v>49</v>
      </c>
      <c r="L7" s="6" t="s">
        <v>50</v>
      </c>
      <c r="M7" s="6" t="s">
        <v>657</v>
      </c>
      <c r="N7" s="7" t="s">
        <v>658</v>
      </c>
      <c r="O7" s="11"/>
      <c r="P7" s="11"/>
      <c r="Q7" s="11"/>
      <c r="R7" s="11"/>
    </row>
    <row r="8" customFormat="false" ht="26.85" hidden="false" customHeight="false" outlineLevel="0" collapsed="false">
      <c r="A8" s="6" t="s">
        <v>46</v>
      </c>
      <c r="B8" s="6" t="s">
        <v>652</v>
      </c>
      <c r="C8" s="6" t="s">
        <v>653</v>
      </c>
      <c r="D8" s="7" t="s">
        <v>84</v>
      </c>
      <c r="E8" s="7" t="s">
        <v>654</v>
      </c>
      <c r="F8" s="6" t="s">
        <v>45</v>
      </c>
      <c r="G8" s="6" t="s">
        <v>655</v>
      </c>
      <c r="H8" s="6" t="s">
        <v>656</v>
      </c>
      <c r="I8" s="7" t="s">
        <v>40</v>
      </c>
      <c r="J8" s="6" t="s">
        <v>41</v>
      </c>
      <c r="K8" s="6" t="s">
        <v>49</v>
      </c>
      <c r="L8" s="6" t="s">
        <v>50</v>
      </c>
      <c r="M8" s="6" t="s">
        <v>657</v>
      </c>
      <c r="N8" s="7" t="s">
        <v>658</v>
      </c>
      <c r="O8" s="11"/>
      <c r="P8" s="11"/>
      <c r="Q8" s="11"/>
      <c r="R8" s="11"/>
    </row>
    <row r="9" customFormat="false" ht="26.85" hidden="false" customHeight="false" outlineLevel="0" collapsed="false">
      <c r="A9" s="6" t="s">
        <v>46</v>
      </c>
      <c r="B9" s="6" t="s">
        <v>652</v>
      </c>
      <c r="C9" s="6" t="s">
        <v>653</v>
      </c>
      <c r="D9" s="7" t="s">
        <v>58</v>
      </c>
      <c r="E9" s="7" t="s">
        <v>654</v>
      </c>
      <c r="F9" s="6" t="s">
        <v>45</v>
      </c>
      <c r="G9" s="6" t="s">
        <v>655</v>
      </c>
      <c r="H9" s="6" t="s">
        <v>656</v>
      </c>
      <c r="I9" s="7" t="s">
        <v>40</v>
      </c>
      <c r="J9" s="6" t="s">
        <v>41</v>
      </c>
      <c r="K9" s="6" t="s">
        <v>49</v>
      </c>
      <c r="L9" s="6" t="s">
        <v>50</v>
      </c>
      <c r="M9" s="6" t="s">
        <v>657</v>
      </c>
      <c r="N9" s="7" t="s">
        <v>658</v>
      </c>
      <c r="O9" s="11"/>
      <c r="P9" s="11"/>
      <c r="Q9" s="11"/>
      <c r="R9" s="11"/>
    </row>
    <row r="10" customFormat="false" ht="26.85" hidden="false" customHeight="false" outlineLevel="0" collapsed="false">
      <c r="A10" s="6" t="s">
        <v>46</v>
      </c>
      <c r="B10" s="6" t="s">
        <v>652</v>
      </c>
      <c r="C10" s="6" t="s">
        <v>653</v>
      </c>
      <c r="D10" s="7" t="s">
        <v>34</v>
      </c>
      <c r="E10" s="7" t="s">
        <v>654</v>
      </c>
      <c r="F10" s="6" t="s">
        <v>45</v>
      </c>
      <c r="G10" s="6" t="s">
        <v>655</v>
      </c>
      <c r="H10" s="6" t="s">
        <v>656</v>
      </c>
      <c r="I10" s="7" t="s">
        <v>40</v>
      </c>
      <c r="J10" s="6" t="s">
        <v>41</v>
      </c>
      <c r="K10" s="6" t="s">
        <v>49</v>
      </c>
      <c r="L10" s="6" t="s">
        <v>50</v>
      </c>
      <c r="M10" s="6" t="s">
        <v>657</v>
      </c>
      <c r="N10" s="7" t="s">
        <v>658</v>
      </c>
      <c r="O10" s="11"/>
      <c r="P10" s="11"/>
      <c r="Q10" s="11"/>
      <c r="R10" s="11"/>
    </row>
    <row r="11" customFormat="false" ht="23.85" hidden="false" customHeight="false" outlineLevel="0" collapsed="false">
      <c r="A11" s="6" t="s">
        <v>57</v>
      </c>
      <c r="B11" s="6" t="s">
        <v>659</v>
      </c>
      <c r="C11" s="6" t="s">
        <v>660</v>
      </c>
      <c r="D11" s="7" t="s">
        <v>64</v>
      </c>
      <c r="E11" s="7" t="s">
        <v>661</v>
      </c>
      <c r="F11" s="6" t="s">
        <v>63</v>
      </c>
      <c r="G11" s="6" t="s">
        <v>662</v>
      </c>
      <c r="H11" s="6" t="s">
        <v>648</v>
      </c>
      <c r="I11" s="7" t="s">
        <v>40</v>
      </c>
      <c r="J11" s="6" t="s">
        <v>41</v>
      </c>
      <c r="K11" s="6" t="s">
        <v>66</v>
      </c>
      <c r="L11" s="6" t="s">
        <v>67</v>
      </c>
      <c r="M11" s="6" t="s">
        <v>663</v>
      </c>
      <c r="N11" s="7" t="s">
        <v>65</v>
      </c>
      <c r="O11" s="11"/>
      <c r="P11" s="11"/>
      <c r="Q11" s="11"/>
      <c r="R11" s="11"/>
    </row>
    <row r="12" customFormat="false" ht="23.85" hidden="false" customHeight="false" outlineLevel="0" collapsed="false">
      <c r="A12" s="6" t="s">
        <v>57</v>
      </c>
      <c r="B12" s="6" t="s">
        <v>659</v>
      </c>
      <c r="C12" s="6" t="s">
        <v>660</v>
      </c>
      <c r="D12" s="7" t="s">
        <v>65</v>
      </c>
      <c r="E12" s="7" t="s">
        <v>661</v>
      </c>
      <c r="F12" s="6" t="s">
        <v>70</v>
      </c>
      <c r="G12" s="6" t="s">
        <v>662</v>
      </c>
      <c r="H12" s="6" t="s">
        <v>648</v>
      </c>
      <c r="I12" s="7" t="s">
        <v>40</v>
      </c>
      <c r="J12" s="6" t="s">
        <v>41</v>
      </c>
      <c r="K12" s="6" t="s">
        <v>71</v>
      </c>
      <c r="L12" s="6" t="s">
        <v>50</v>
      </c>
      <c r="M12" s="6" t="s">
        <v>664</v>
      </c>
      <c r="N12" s="7" t="s">
        <v>64</v>
      </c>
      <c r="O12" s="11"/>
      <c r="P12" s="11"/>
      <c r="Q12" s="11"/>
      <c r="R12" s="11"/>
    </row>
    <row r="13" customFormat="false" ht="23.85" hidden="false" customHeight="false" outlineLevel="0" collapsed="false">
      <c r="A13" s="6" t="s">
        <v>57</v>
      </c>
      <c r="B13" s="6" t="s">
        <v>659</v>
      </c>
      <c r="C13" s="6" t="s">
        <v>660</v>
      </c>
      <c r="D13" s="7" t="s">
        <v>74</v>
      </c>
      <c r="E13" s="7" t="s">
        <v>661</v>
      </c>
      <c r="F13" s="6" t="s">
        <v>73</v>
      </c>
      <c r="G13" s="6" t="s">
        <v>662</v>
      </c>
      <c r="H13" s="6" t="s">
        <v>648</v>
      </c>
      <c r="I13" s="7" t="s">
        <v>40</v>
      </c>
      <c r="J13" s="6" t="s">
        <v>41</v>
      </c>
      <c r="K13" s="6" t="s">
        <v>76</v>
      </c>
      <c r="L13" s="6" t="s">
        <v>77</v>
      </c>
      <c r="M13" s="6" t="s">
        <v>665</v>
      </c>
      <c r="N13" s="7" t="s">
        <v>75</v>
      </c>
      <c r="O13" s="11"/>
      <c r="P13" s="11"/>
      <c r="Q13" s="11"/>
      <c r="R13" s="11"/>
    </row>
    <row r="14" customFormat="false" ht="23.85" hidden="false" customHeight="false" outlineLevel="0" collapsed="false">
      <c r="A14" s="6" t="s">
        <v>57</v>
      </c>
      <c r="B14" s="6" t="s">
        <v>659</v>
      </c>
      <c r="C14" s="6" t="s">
        <v>660</v>
      </c>
      <c r="D14" s="7" t="s">
        <v>75</v>
      </c>
      <c r="E14" s="7" t="s">
        <v>661</v>
      </c>
      <c r="F14" s="6" t="s">
        <v>79</v>
      </c>
      <c r="G14" s="6" t="s">
        <v>662</v>
      </c>
      <c r="H14" s="6" t="s">
        <v>648</v>
      </c>
      <c r="I14" s="7" t="s">
        <v>40</v>
      </c>
      <c r="J14" s="6" t="s">
        <v>41</v>
      </c>
      <c r="K14" s="6" t="s">
        <v>80</v>
      </c>
      <c r="L14" s="6" t="s">
        <v>77</v>
      </c>
      <c r="M14" s="6" t="s">
        <v>666</v>
      </c>
      <c r="N14" s="7" t="s">
        <v>74</v>
      </c>
      <c r="O14" s="11"/>
      <c r="P14" s="11"/>
      <c r="Q14" s="11"/>
      <c r="R14" s="11"/>
    </row>
    <row r="15" customFormat="false" ht="23.85" hidden="false" customHeight="false" outlineLevel="0" collapsed="false">
      <c r="A15" s="6" t="s">
        <v>57</v>
      </c>
      <c r="B15" s="6" t="s">
        <v>659</v>
      </c>
      <c r="C15" s="6" t="s">
        <v>660</v>
      </c>
      <c r="D15" s="7" t="s">
        <v>83</v>
      </c>
      <c r="E15" s="7" t="s">
        <v>661</v>
      </c>
      <c r="F15" s="6" t="s">
        <v>82</v>
      </c>
      <c r="G15" s="6" t="s">
        <v>662</v>
      </c>
      <c r="H15" s="6" t="s">
        <v>648</v>
      </c>
      <c r="I15" s="7" t="s">
        <v>40</v>
      </c>
      <c r="J15" s="6" t="s">
        <v>41</v>
      </c>
      <c r="K15" s="6" t="s">
        <v>85</v>
      </c>
      <c r="L15" s="6" t="s">
        <v>86</v>
      </c>
      <c r="M15" s="6" t="s">
        <v>667</v>
      </c>
      <c r="N15" s="7" t="s">
        <v>84</v>
      </c>
      <c r="O15" s="11"/>
      <c r="P15" s="11"/>
      <c r="Q15" s="11"/>
      <c r="R15" s="11"/>
    </row>
    <row r="16" customFormat="false" ht="23.85" hidden="false" customHeight="false" outlineLevel="0" collapsed="false">
      <c r="A16" s="6" t="s">
        <v>57</v>
      </c>
      <c r="B16" s="6" t="s">
        <v>659</v>
      </c>
      <c r="C16" s="6" t="s">
        <v>660</v>
      </c>
      <c r="D16" s="7" t="s">
        <v>84</v>
      </c>
      <c r="E16" s="7" t="s">
        <v>661</v>
      </c>
      <c r="F16" s="6" t="s">
        <v>88</v>
      </c>
      <c r="G16" s="6" t="s">
        <v>662</v>
      </c>
      <c r="H16" s="6" t="s">
        <v>648</v>
      </c>
      <c r="I16" s="7" t="s">
        <v>40</v>
      </c>
      <c r="J16" s="6" t="s">
        <v>41</v>
      </c>
      <c r="K16" s="6" t="s">
        <v>89</v>
      </c>
      <c r="L16" s="6" t="s">
        <v>90</v>
      </c>
      <c r="M16" s="6" t="s">
        <v>668</v>
      </c>
      <c r="N16" s="7" t="s">
        <v>83</v>
      </c>
      <c r="O16" s="11"/>
      <c r="P16" s="11"/>
      <c r="Q16" s="11"/>
      <c r="R16" s="11"/>
    </row>
    <row r="17" customFormat="false" ht="35.05" hidden="false" customHeight="false" outlineLevel="0" collapsed="false">
      <c r="A17" s="6" t="s">
        <v>57</v>
      </c>
      <c r="B17" s="6" t="s">
        <v>659</v>
      </c>
      <c r="C17" s="6" t="s">
        <v>660</v>
      </c>
      <c r="D17" s="7" t="s">
        <v>58</v>
      </c>
      <c r="E17" s="7" t="s">
        <v>661</v>
      </c>
      <c r="F17" s="6" t="s">
        <v>92</v>
      </c>
      <c r="G17" s="6" t="s">
        <v>662</v>
      </c>
      <c r="H17" s="6" t="s">
        <v>648</v>
      </c>
      <c r="I17" s="7" t="s">
        <v>40</v>
      </c>
      <c r="J17" s="6" t="s">
        <v>41</v>
      </c>
      <c r="K17" s="6" t="s">
        <v>93</v>
      </c>
      <c r="L17" s="7" t="s">
        <v>94</v>
      </c>
      <c r="M17" s="6" t="s">
        <v>669</v>
      </c>
      <c r="N17" s="7" t="s">
        <v>34</v>
      </c>
      <c r="O17" s="11"/>
      <c r="P17" s="11"/>
      <c r="Q17" s="11"/>
      <c r="R17" s="11"/>
    </row>
    <row r="18" customFormat="false" ht="23.85" hidden="false" customHeight="false" outlineLevel="0" collapsed="false">
      <c r="A18" s="6" t="s">
        <v>57</v>
      </c>
      <c r="B18" s="6" t="s">
        <v>659</v>
      </c>
      <c r="C18" s="6" t="s">
        <v>660</v>
      </c>
      <c r="D18" s="7" t="s">
        <v>34</v>
      </c>
      <c r="E18" s="7" t="s">
        <v>661</v>
      </c>
      <c r="F18" s="6" t="s">
        <v>56</v>
      </c>
      <c r="G18" s="6" t="s">
        <v>670</v>
      </c>
      <c r="H18" s="6" t="s">
        <v>648</v>
      </c>
      <c r="I18" s="7" t="s">
        <v>40</v>
      </c>
      <c r="J18" s="6" t="s">
        <v>41</v>
      </c>
      <c r="K18" s="6" t="s">
        <v>59</v>
      </c>
      <c r="L18" s="6" t="s">
        <v>60</v>
      </c>
      <c r="M18" s="6" t="s">
        <v>671</v>
      </c>
      <c r="N18" s="7" t="s">
        <v>58</v>
      </c>
      <c r="O18" s="11"/>
      <c r="P18" s="11"/>
      <c r="Q18" s="11"/>
      <c r="R18" s="11"/>
    </row>
    <row r="19" customFormat="false" ht="35.05" hidden="false" customHeight="false" outlineLevel="0" collapsed="false">
      <c r="A19" s="6" t="s">
        <v>97</v>
      </c>
      <c r="B19" s="6" t="s">
        <v>672</v>
      </c>
      <c r="C19" s="6" t="s">
        <v>673</v>
      </c>
      <c r="D19" s="7" t="s">
        <v>64</v>
      </c>
      <c r="E19" s="7" t="s">
        <v>661</v>
      </c>
      <c r="F19" s="6" t="s">
        <v>104</v>
      </c>
      <c r="G19" s="6" t="s">
        <v>670</v>
      </c>
      <c r="H19" s="6" t="s">
        <v>648</v>
      </c>
      <c r="I19" s="7" t="s">
        <v>40</v>
      </c>
      <c r="J19" s="6" t="s">
        <v>41</v>
      </c>
      <c r="K19" s="6" t="s">
        <v>105</v>
      </c>
      <c r="L19" s="6" t="s">
        <v>50</v>
      </c>
      <c r="M19" s="6" t="s">
        <v>674</v>
      </c>
      <c r="N19" s="7" t="s">
        <v>65</v>
      </c>
      <c r="O19" s="11"/>
      <c r="P19" s="11"/>
      <c r="Q19" s="11"/>
      <c r="R19" s="11"/>
    </row>
    <row r="20" customFormat="false" ht="23.85" hidden="false" customHeight="false" outlineLevel="0" collapsed="false">
      <c r="A20" s="6" t="s">
        <v>97</v>
      </c>
      <c r="B20" s="6" t="s">
        <v>672</v>
      </c>
      <c r="C20" s="6" t="s">
        <v>673</v>
      </c>
      <c r="D20" s="7" t="s">
        <v>65</v>
      </c>
      <c r="E20" s="7" t="s">
        <v>661</v>
      </c>
      <c r="F20" s="6" t="s">
        <v>96</v>
      </c>
      <c r="G20" s="6" t="s">
        <v>655</v>
      </c>
      <c r="H20" s="6" t="s">
        <v>656</v>
      </c>
      <c r="I20" s="7" t="s">
        <v>40</v>
      </c>
      <c r="J20" s="6" t="s">
        <v>41</v>
      </c>
      <c r="K20" s="6" t="s">
        <v>98</v>
      </c>
      <c r="L20" s="6" t="s">
        <v>99</v>
      </c>
      <c r="M20" s="6" t="s">
        <v>675</v>
      </c>
      <c r="N20" s="7" t="s">
        <v>64</v>
      </c>
      <c r="O20" s="11"/>
      <c r="P20" s="11"/>
      <c r="Q20" s="11"/>
      <c r="R20" s="11"/>
    </row>
    <row r="21" customFormat="false" ht="23.85" hidden="false" customHeight="false" outlineLevel="0" collapsed="false">
      <c r="A21" s="6" t="s">
        <v>97</v>
      </c>
      <c r="B21" s="6" t="s">
        <v>672</v>
      </c>
      <c r="C21" s="6" t="s">
        <v>673</v>
      </c>
      <c r="D21" s="7" t="s">
        <v>74</v>
      </c>
      <c r="E21" s="7" t="s">
        <v>661</v>
      </c>
      <c r="F21" s="6" t="s">
        <v>101</v>
      </c>
      <c r="G21" s="6" t="s">
        <v>655</v>
      </c>
      <c r="H21" s="6" t="s">
        <v>656</v>
      </c>
      <c r="I21" s="7" t="s">
        <v>40</v>
      </c>
      <c r="J21" s="6" t="s">
        <v>41</v>
      </c>
      <c r="K21" s="6" t="s">
        <v>102</v>
      </c>
      <c r="L21" s="6" t="s">
        <v>50</v>
      </c>
      <c r="M21" s="6" t="s">
        <v>676</v>
      </c>
      <c r="N21" s="7" t="s">
        <v>75</v>
      </c>
      <c r="O21" s="11"/>
      <c r="P21" s="11"/>
      <c r="Q21" s="11"/>
      <c r="R21" s="11"/>
    </row>
    <row r="22" customFormat="false" ht="23.85" hidden="false" customHeight="false" outlineLevel="0" collapsed="false">
      <c r="A22" s="6" t="s">
        <v>97</v>
      </c>
      <c r="B22" s="6" t="s">
        <v>672</v>
      </c>
      <c r="C22" s="6" t="s">
        <v>673</v>
      </c>
      <c r="D22" s="7" t="s">
        <v>75</v>
      </c>
      <c r="E22" s="7" t="s">
        <v>661</v>
      </c>
      <c r="F22" s="6" t="s">
        <v>107</v>
      </c>
      <c r="G22" s="6" t="s">
        <v>647</v>
      </c>
      <c r="H22" s="6" t="s">
        <v>677</v>
      </c>
      <c r="I22" s="7" t="s">
        <v>40</v>
      </c>
      <c r="J22" s="6" t="s">
        <v>41</v>
      </c>
      <c r="K22" s="6" t="s">
        <v>108</v>
      </c>
      <c r="L22" s="7" t="s">
        <v>109</v>
      </c>
      <c r="M22" s="6" t="s">
        <v>678</v>
      </c>
      <c r="N22" s="7" t="s">
        <v>74</v>
      </c>
      <c r="O22" s="11"/>
      <c r="P22" s="11"/>
      <c r="Q22" s="11"/>
      <c r="R22" s="11"/>
    </row>
    <row r="23" customFormat="false" ht="15" hidden="false" customHeight="false" outlineLevel="0" collapsed="false">
      <c r="A23" s="6" t="s">
        <v>97</v>
      </c>
      <c r="B23" s="6" t="s">
        <v>672</v>
      </c>
      <c r="C23" s="6" t="s">
        <v>673</v>
      </c>
      <c r="D23" s="7" t="s">
        <v>83</v>
      </c>
      <c r="E23" s="7" t="s">
        <v>661</v>
      </c>
      <c r="F23" s="6" t="s">
        <v>123</v>
      </c>
      <c r="G23" s="6" t="s">
        <v>647</v>
      </c>
      <c r="H23" s="6" t="s">
        <v>677</v>
      </c>
      <c r="I23" s="7" t="s">
        <v>40</v>
      </c>
      <c r="J23" s="6" t="s">
        <v>41</v>
      </c>
      <c r="K23" s="6" t="s">
        <v>124</v>
      </c>
      <c r="L23" s="6" t="s">
        <v>125</v>
      </c>
      <c r="M23" s="6" t="s">
        <v>679</v>
      </c>
      <c r="N23" s="7" t="s">
        <v>84</v>
      </c>
      <c r="O23" s="11"/>
      <c r="P23" s="11"/>
      <c r="Q23" s="11"/>
      <c r="R23" s="11"/>
    </row>
    <row r="24" customFormat="false" ht="23.85" hidden="false" customHeight="false" outlineLevel="0" collapsed="false">
      <c r="A24" s="6" t="s">
        <v>97</v>
      </c>
      <c r="B24" s="6" t="s">
        <v>672</v>
      </c>
      <c r="C24" s="6" t="s">
        <v>673</v>
      </c>
      <c r="D24" s="7" t="s">
        <v>84</v>
      </c>
      <c r="E24" s="7" t="s">
        <v>661</v>
      </c>
      <c r="F24" s="6" t="s">
        <v>112</v>
      </c>
      <c r="G24" s="6" t="s">
        <v>647</v>
      </c>
      <c r="H24" s="6" t="s">
        <v>648</v>
      </c>
      <c r="I24" s="7" t="s">
        <v>40</v>
      </c>
      <c r="J24" s="6" t="s">
        <v>41</v>
      </c>
      <c r="K24" s="6" t="s">
        <v>113</v>
      </c>
      <c r="L24" s="7" t="s">
        <v>109</v>
      </c>
      <c r="M24" s="6" t="s">
        <v>680</v>
      </c>
      <c r="N24" s="7" t="s">
        <v>83</v>
      </c>
      <c r="O24" s="11"/>
      <c r="P24" s="11"/>
      <c r="Q24" s="11"/>
      <c r="R24" s="11"/>
    </row>
    <row r="25" customFormat="false" ht="23.85" hidden="false" customHeight="false" outlineLevel="0" collapsed="false">
      <c r="A25" s="6" t="s">
        <v>97</v>
      </c>
      <c r="B25" s="6" t="s">
        <v>672</v>
      </c>
      <c r="C25" s="6" t="s">
        <v>673</v>
      </c>
      <c r="D25" s="7" t="s">
        <v>58</v>
      </c>
      <c r="E25" s="7" t="s">
        <v>661</v>
      </c>
      <c r="F25" s="6" t="s">
        <v>115</v>
      </c>
      <c r="G25" s="6" t="s">
        <v>647</v>
      </c>
      <c r="H25" s="6" t="s">
        <v>648</v>
      </c>
      <c r="I25" s="7" t="s">
        <v>40</v>
      </c>
      <c r="J25" s="6" t="s">
        <v>41</v>
      </c>
      <c r="K25" s="6" t="s">
        <v>116</v>
      </c>
      <c r="L25" s="7" t="s">
        <v>117</v>
      </c>
      <c r="M25" s="6" t="s">
        <v>681</v>
      </c>
      <c r="N25" s="7" t="s">
        <v>34</v>
      </c>
      <c r="O25" s="11"/>
      <c r="P25" s="11"/>
      <c r="Q25" s="11"/>
      <c r="R25" s="11"/>
    </row>
    <row r="26" customFormat="false" ht="23.85" hidden="false" customHeight="false" outlineLevel="0" collapsed="false">
      <c r="A26" s="6" t="s">
        <v>97</v>
      </c>
      <c r="B26" s="6" t="s">
        <v>672</v>
      </c>
      <c r="C26" s="6" t="s">
        <v>673</v>
      </c>
      <c r="D26" s="7" t="s">
        <v>34</v>
      </c>
      <c r="E26" s="7" t="s">
        <v>661</v>
      </c>
      <c r="F26" s="6" t="s">
        <v>119</v>
      </c>
      <c r="G26" s="6" t="s">
        <v>647</v>
      </c>
      <c r="H26" s="6" t="s">
        <v>648</v>
      </c>
      <c r="I26" s="7" t="s">
        <v>40</v>
      </c>
      <c r="J26" s="6" t="s">
        <v>41</v>
      </c>
      <c r="K26" s="6" t="s">
        <v>120</v>
      </c>
      <c r="L26" s="6" t="s">
        <v>121</v>
      </c>
      <c r="M26" s="6" t="s">
        <v>682</v>
      </c>
      <c r="N26" s="7" t="s">
        <v>58</v>
      </c>
      <c r="O26" s="11"/>
      <c r="P26" s="11"/>
      <c r="Q26" s="11"/>
      <c r="R26" s="11"/>
    </row>
    <row r="27" customFormat="false" ht="23.85" hidden="false" customHeight="false" outlineLevel="0" collapsed="false">
      <c r="A27" s="6" t="s">
        <v>129</v>
      </c>
      <c r="B27" s="6" t="s">
        <v>683</v>
      </c>
      <c r="C27" s="6" t="s">
        <v>684</v>
      </c>
      <c r="D27" s="7" t="s">
        <v>64</v>
      </c>
      <c r="E27" s="7" t="s">
        <v>661</v>
      </c>
      <c r="F27" s="6" t="s">
        <v>128</v>
      </c>
      <c r="G27" s="6" t="s">
        <v>647</v>
      </c>
      <c r="H27" s="6" t="s">
        <v>648</v>
      </c>
      <c r="I27" s="7" t="s">
        <v>40</v>
      </c>
      <c r="J27" s="6" t="s">
        <v>41</v>
      </c>
      <c r="K27" s="6" t="s">
        <v>130</v>
      </c>
      <c r="L27" s="7" t="s">
        <v>109</v>
      </c>
      <c r="M27" s="6" t="s">
        <v>685</v>
      </c>
      <c r="N27" s="7" t="s">
        <v>65</v>
      </c>
      <c r="O27" s="11"/>
      <c r="P27" s="11"/>
      <c r="Q27" s="11"/>
      <c r="R27" s="11"/>
    </row>
    <row r="28" customFormat="false" ht="23.85" hidden="false" customHeight="false" outlineLevel="0" collapsed="false">
      <c r="A28" s="6" t="s">
        <v>129</v>
      </c>
      <c r="B28" s="6" t="s">
        <v>683</v>
      </c>
      <c r="C28" s="6" t="s">
        <v>684</v>
      </c>
      <c r="D28" s="7" t="s">
        <v>65</v>
      </c>
      <c r="E28" s="7" t="s">
        <v>661</v>
      </c>
      <c r="F28" s="6" t="s">
        <v>132</v>
      </c>
      <c r="G28" s="6" t="s">
        <v>647</v>
      </c>
      <c r="H28" s="6" t="s">
        <v>648</v>
      </c>
      <c r="I28" s="7" t="s">
        <v>40</v>
      </c>
      <c r="J28" s="6" t="s">
        <v>41</v>
      </c>
      <c r="K28" s="6" t="s">
        <v>133</v>
      </c>
      <c r="L28" s="7" t="s">
        <v>134</v>
      </c>
      <c r="M28" s="6" t="s">
        <v>686</v>
      </c>
      <c r="N28" s="7" t="s">
        <v>64</v>
      </c>
      <c r="O28" s="11"/>
      <c r="P28" s="11"/>
      <c r="Q28" s="11"/>
      <c r="R28" s="11"/>
    </row>
    <row r="29" customFormat="false" ht="23.85" hidden="false" customHeight="false" outlineLevel="0" collapsed="false">
      <c r="A29" s="6" t="s">
        <v>129</v>
      </c>
      <c r="B29" s="6" t="s">
        <v>683</v>
      </c>
      <c r="C29" s="6" t="s">
        <v>684</v>
      </c>
      <c r="D29" s="7" t="s">
        <v>74</v>
      </c>
      <c r="E29" s="7" t="s">
        <v>661</v>
      </c>
      <c r="F29" s="6" t="s">
        <v>136</v>
      </c>
      <c r="G29" s="6" t="s">
        <v>647</v>
      </c>
      <c r="H29" s="6" t="s">
        <v>648</v>
      </c>
      <c r="I29" s="7" t="s">
        <v>40</v>
      </c>
      <c r="J29" s="6" t="s">
        <v>41</v>
      </c>
      <c r="K29" s="6" t="s">
        <v>137</v>
      </c>
      <c r="L29" s="6" t="s">
        <v>77</v>
      </c>
      <c r="M29" s="6" t="s">
        <v>687</v>
      </c>
      <c r="N29" s="7" t="s">
        <v>75</v>
      </c>
      <c r="O29" s="11"/>
      <c r="P29" s="11"/>
      <c r="Q29" s="11"/>
      <c r="R29" s="11"/>
    </row>
    <row r="30" customFormat="false" ht="23.85" hidden="false" customHeight="false" outlineLevel="0" collapsed="false">
      <c r="A30" s="6" t="s">
        <v>129</v>
      </c>
      <c r="B30" s="6" t="s">
        <v>683</v>
      </c>
      <c r="C30" s="6" t="s">
        <v>684</v>
      </c>
      <c r="D30" s="7" t="s">
        <v>75</v>
      </c>
      <c r="E30" s="7" t="s">
        <v>661</v>
      </c>
      <c r="F30" s="6" t="s">
        <v>139</v>
      </c>
      <c r="G30" s="6" t="s">
        <v>647</v>
      </c>
      <c r="H30" s="6" t="s">
        <v>648</v>
      </c>
      <c r="I30" s="7" t="s">
        <v>40</v>
      </c>
      <c r="J30" s="6" t="s">
        <v>41</v>
      </c>
      <c r="K30" s="6" t="s">
        <v>140</v>
      </c>
      <c r="L30" s="7" t="s">
        <v>141</v>
      </c>
      <c r="M30" s="6" t="s">
        <v>688</v>
      </c>
      <c r="N30" s="7" t="s">
        <v>74</v>
      </c>
      <c r="O30" s="11"/>
      <c r="P30" s="11"/>
      <c r="Q30" s="11"/>
      <c r="R30" s="11"/>
    </row>
    <row r="31" customFormat="false" ht="15" hidden="false" customHeight="false" outlineLevel="0" collapsed="false">
      <c r="A31" s="6" t="s">
        <v>129</v>
      </c>
      <c r="B31" s="6" t="s">
        <v>683</v>
      </c>
      <c r="C31" s="6" t="s">
        <v>684</v>
      </c>
      <c r="D31" s="7" t="s">
        <v>83</v>
      </c>
      <c r="E31" s="7" t="s">
        <v>661</v>
      </c>
      <c r="F31" s="6" t="s">
        <v>143</v>
      </c>
      <c r="G31" s="6" t="s">
        <v>647</v>
      </c>
      <c r="H31" s="6" t="s">
        <v>648</v>
      </c>
      <c r="I31" s="7" t="s">
        <v>40</v>
      </c>
      <c r="J31" s="6" t="s">
        <v>41</v>
      </c>
      <c r="K31" s="6" t="s">
        <v>144</v>
      </c>
      <c r="L31" s="7" t="s">
        <v>145</v>
      </c>
      <c r="M31" s="6" t="s">
        <v>689</v>
      </c>
      <c r="N31" s="7" t="s">
        <v>84</v>
      </c>
      <c r="O31" s="11"/>
      <c r="P31" s="11"/>
      <c r="Q31" s="11"/>
      <c r="R31" s="11"/>
    </row>
    <row r="32" customFormat="false" ht="23.85" hidden="false" customHeight="false" outlineLevel="0" collapsed="false">
      <c r="A32" s="6" t="s">
        <v>129</v>
      </c>
      <c r="B32" s="6" t="s">
        <v>683</v>
      </c>
      <c r="C32" s="6" t="s">
        <v>684</v>
      </c>
      <c r="D32" s="7" t="s">
        <v>84</v>
      </c>
      <c r="E32" s="7" t="s">
        <v>661</v>
      </c>
      <c r="F32" s="6" t="s">
        <v>147</v>
      </c>
      <c r="G32" s="6" t="s">
        <v>647</v>
      </c>
      <c r="H32" s="6" t="s">
        <v>648</v>
      </c>
      <c r="I32" s="7" t="s">
        <v>40</v>
      </c>
      <c r="J32" s="6" t="s">
        <v>41</v>
      </c>
      <c r="K32" s="6" t="s">
        <v>148</v>
      </c>
      <c r="L32" s="6" t="s">
        <v>149</v>
      </c>
      <c r="M32" s="6" t="s">
        <v>690</v>
      </c>
      <c r="N32" s="7" t="s">
        <v>83</v>
      </c>
      <c r="O32" s="11"/>
      <c r="P32" s="11"/>
      <c r="Q32" s="11"/>
      <c r="R32" s="11"/>
    </row>
    <row r="33" customFormat="false" ht="23.85" hidden="false" customHeight="false" outlineLevel="0" collapsed="false">
      <c r="A33" s="6" t="s">
        <v>129</v>
      </c>
      <c r="B33" s="6" t="s">
        <v>683</v>
      </c>
      <c r="C33" s="6" t="s">
        <v>684</v>
      </c>
      <c r="D33" s="7" t="s">
        <v>58</v>
      </c>
      <c r="E33" s="7" t="s">
        <v>661</v>
      </c>
      <c r="F33" s="6" t="s">
        <v>151</v>
      </c>
      <c r="G33" s="6" t="s">
        <v>647</v>
      </c>
      <c r="H33" s="6" t="s">
        <v>648</v>
      </c>
      <c r="I33" s="7" t="s">
        <v>40</v>
      </c>
      <c r="J33" s="6" t="s">
        <v>41</v>
      </c>
      <c r="K33" s="6" t="s">
        <v>152</v>
      </c>
      <c r="L33" s="7" t="s">
        <v>153</v>
      </c>
      <c r="M33" s="6" t="s">
        <v>691</v>
      </c>
      <c r="N33" s="7" t="s">
        <v>34</v>
      </c>
      <c r="O33" s="11"/>
      <c r="P33" s="11"/>
      <c r="Q33" s="11"/>
      <c r="R33" s="11"/>
    </row>
    <row r="34" customFormat="false" ht="23.85" hidden="false" customHeight="false" outlineLevel="0" collapsed="false">
      <c r="A34" s="6" t="s">
        <v>129</v>
      </c>
      <c r="B34" s="6" t="s">
        <v>683</v>
      </c>
      <c r="C34" s="6" t="s">
        <v>684</v>
      </c>
      <c r="D34" s="7" t="s">
        <v>34</v>
      </c>
      <c r="E34" s="7" t="s">
        <v>661</v>
      </c>
      <c r="F34" s="6" t="s">
        <v>155</v>
      </c>
      <c r="G34" s="6" t="s">
        <v>647</v>
      </c>
      <c r="H34" s="6" t="s">
        <v>648</v>
      </c>
      <c r="I34" s="7" t="s">
        <v>40</v>
      </c>
      <c r="J34" s="6" t="s">
        <v>41</v>
      </c>
      <c r="K34" s="6" t="s">
        <v>156</v>
      </c>
      <c r="L34" s="6" t="s">
        <v>157</v>
      </c>
      <c r="M34" s="6" t="s">
        <v>692</v>
      </c>
      <c r="N34" s="7" t="s">
        <v>58</v>
      </c>
      <c r="O34" s="11"/>
      <c r="P34" s="11"/>
      <c r="Q34" s="11"/>
      <c r="R34" s="11"/>
    </row>
    <row r="35" customFormat="false" ht="23.85" hidden="false" customHeight="false" outlineLevel="0" collapsed="false">
      <c r="A35" s="6" t="s">
        <v>160</v>
      </c>
      <c r="B35" s="6" t="s">
        <v>693</v>
      </c>
      <c r="C35" s="6" t="s">
        <v>694</v>
      </c>
      <c r="D35" s="7" t="s">
        <v>64</v>
      </c>
      <c r="E35" s="7" t="s">
        <v>661</v>
      </c>
      <c r="F35" s="6" t="s">
        <v>185</v>
      </c>
      <c r="G35" s="6" t="s">
        <v>695</v>
      </c>
      <c r="H35" s="6" t="s">
        <v>656</v>
      </c>
      <c r="I35" s="7" t="s">
        <v>40</v>
      </c>
      <c r="J35" s="6" t="s">
        <v>41</v>
      </c>
      <c r="K35" s="6" t="s">
        <v>186</v>
      </c>
      <c r="L35" s="6" t="s">
        <v>187</v>
      </c>
      <c r="M35" s="6" t="s">
        <v>696</v>
      </c>
      <c r="N35" s="7" t="s">
        <v>75</v>
      </c>
      <c r="O35" s="11"/>
      <c r="P35" s="11"/>
      <c r="Q35" s="11"/>
      <c r="R35" s="11"/>
    </row>
    <row r="36" customFormat="false" ht="35.05" hidden="false" customHeight="false" outlineLevel="0" collapsed="false">
      <c r="A36" s="6" t="s">
        <v>160</v>
      </c>
      <c r="B36" s="6" t="s">
        <v>693</v>
      </c>
      <c r="C36" s="6" t="s">
        <v>694</v>
      </c>
      <c r="D36" s="7" t="s">
        <v>65</v>
      </c>
      <c r="E36" s="7" t="s">
        <v>661</v>
      </c>
      <c r="F36" s="6" t="s">
        <v>190</v>
      </c>
      <c r="G36" s="6" t="s">
        <v>695</v>
      </c>
      <c r="H36" s="6" t="s">
        <v>656</v>
      </c>
      <c r="I36" s="7" t="s">
        <v>40</v>
      </c>
      <c r="J36" s="6" t="s">
        <v>41</v>
      </c>
      <c r="K36" s="6" t="s">
        <v>191</v>
      </c>
      <c r="L36" s="6" t="s">
        <v>192</v>
      </c>
      <c r="M36" s="6" t="s">
        <v>697</v>
      </c>
      <c r="N36" s="7" t="s">
        <v>83</v>
      </c>
      <c r="O36" s="11"/>
      <c r="P36" s="11"/>
      <c r="Q36" s="11"/>
      <c r="R36" s="11"/>
    </row>
    <row r="37" customFormat="false" ht="15" hidden="false" customHeight="false" outlineLevel="0" collapsed="false">
      <c r="A37" s="6" t="s">
        <v>160</v>
      </c>
      <c r="B37" s="6" t="s">
        <v>693</v>
      </c>
      <c r="C37" s="6" t="s">
        <v>694</v>
      </c>
      <c r="D37" s="7" t="s">
        <v>74</v>
      </c>
      <c r="E37" s="7" t="s">
        <v>661</v>
      </c>
      <c r="F37" s="6" t="s">
        <v>159</v>
      </c>
      <c r="G37" s="6" t="s">
        <v>655</v>
      </c>
      <c r="H37" s="6" t="s">
        <v>656</v>
      </c>
      <c r="I37" s="6" t="s">
        <v>164</v>
      </c>
      <c r="J37" s="7"/>
      <c r="K37" s="6" t="s">
        <v>161</v>
      </c>
      <c r="L37" s="6" t="s">
        <v>162</v>
      </c>
      <c r="M37" s="6" t="s">
        <v>698</v>
      </c>
      <c r="N37" s="7" t="s">
        <v>64</v>
      </c>
      <c r="O37" s="11"/>
      <c r="P37" s="11"/>
      <c r="Q37" s="11"/>
      <c r="R37" s="11"/>
    </row>
    <row r="38" customFormat="false" ht="15" hidden="false" customHeight="false" outlineLevel="0" collapsed="false">
      <c r="A38" s="6" t="s">
        <v>160</v>
      </c>
      <c r="B38" s="6" t="s">
        <v>693</v>
      </c>
      <c r="C38" s="6" t="s">
        <v>694</v>
      </c>
      <c r="D38" s="7" t="s">
        <v>75</v>
      </c>
      <c r="E38" s="7" t="s">
        <v>661</v>
      </c>
      <c r="F38" s="6" t="s">
        <v>167</v>
      </c>
      <c r="G38" s="6" t="s">
        <v>655</v>
      </c>
      <c r="H38" s="6" t="s">
        <v>656</v>
      </c>
      <c r="I38" s="6" t="s">
        <v>164</v>
      </c>
      <c r="J38" s="7"/>
      <c r="K38" s="6" t="s">
        <v>168</v>
      </c>
      <c r="L38" s="6" t="s">
        <v>162</v>
      </c>
      <c r="M38" s="6" t="s">
        <v>699</v>
      </c>
      <c r="N38" s="7" t="s">
        <v>84</v>
      </c>
      <c r="O38" s="11"/>
      <c r="P38" s="11"/>
      <c r="Q38" s="11"/>
      <c r="R38" s="11"/>
    </row>
    <row r="39" customFormat="false" ht="23.85" hidden="false" customHeight="false" outlineLevel="0" collapsed="false">
      <c r="A39" s="6" t="s">
        <v>160</v>
      </c>
      <c r="B39" s="6" t="s">
        <v>693</v>
      </c>
      <c r="C39" s="6" t="s">
        <v>694</v>
      </c>
      <c r="D39" s="7" t="s">
        <v>83</v>
      </c>
      <c r="E39" s="7" t="s">
        <v>661</v>
      </c>
      <c r="F39" s="6" t="s">
        <v>170</v>
      </c>
      <c r="G39" s="6" t="s">
        <v>655</v>
      </c>
      <c r="H39" s="6" t="s">
        <v>656</v>
      </c>
      <c r="I39" s="6" t="s">
        <v>164</v>
      </c>
      <c r="J39" s="7"/>
      <c r="K39" s="6" t="s">
        <v>171</v>
      </c>
      <c r="L39" s="6" t="s">
        <v>172</v>
      </c>
      <c r="M39" s="6" t="s">
        <v>700</v>
      </c>
      <c r="N39" s="7" t="s">
        <v>65</v>
      </c>
      <c r="O39" s="11"/>
      <c r="P39" s="11"/>
      <c r="Q39" s="11"/>
      <c r="R39" s="11"/>
    </row>
    <row r="40" customFormat="false" ht="23.85" hidden="false" customHeight="false" outlineLevel="0" collapsed="false">
      <c r="A40" s="6" t="s">
        <v>160</v>
      </c>
      <c r="B40" s="6" t="s">
        <v>693</v>
      </c>
      <c r="C40" s="6" t="s">
        <v>694</v>
      </c>
      <c r="D40" s="7" t="s">
        <v>84</v>
      </c>
      <c r="E40" s="7" t="s">
        <v>661</v>
      </c>
      <c r="F40" s="6" t="s">
        <v>174</v>
      </c>
      <c r="G40" s="6" t="s">
        <v>655</v>
      </c>
      <c r="H40" s="6" t="s">
        <v>656</v>
      </c>
      <c r="I40" s="7" t="s">
        <v>40</v>
      </c>
      <c r="J40" s="7"/>
      <c r="K40" s="6" t="s">
        <v>175</v>
      </c>
      <c r="L40" s="6" t="s">
        <v>176</v>
      </c>
      <c r="M40" s="6" t="s">
        <v>701</v>
      </c>
      <c r="N40" s="7" t="s">
        <v>34</v>
      </c>
      <c r="O40" s="11"/>
      <c r="P40" s="11"/>
      <c r="Q40" s="11"/>
      <c r="R40" s="11"/>
    </row>
    <row r="41" customFormat="false" ht="23.85" hidden="false" customHeight="false" outlineLevel="0" collapsed="false">
      <c r="A41" s="6" t="s">
        <v>160</v>
      </c>
      <c r="B41" s="6" t="s">
        <v>693</v>
      </c>
      <c r="C41" s="6" t="s">
        <v>694</v>
      </c>
      <c r="D41" s="7" t="s">
        <v>58</v>
      </c>
      <c r="E41" s="7" t="s">
        <v>661</v>
      </c>
      <c r="F41" s="6" t="s">
        <v>178</v>
      </c>
      <c r="G41" s="6" t="s">
        <v>655</v>
      </c>
      <c r="H41" s="6" t="s">
        <v>656</v>
      </c>
      <c r="I41" s="7" t="s">
        <v>40</v>
      </c>
      <c r="J41" s="7"/>
      <c r="K41" s="6" t="s">
        <v>179</v>
      </c>
      <c r="L41" s="6" t="s">
        <v>180</v>
      </c>
      <c r="M41" s="6" t="s">
        <v>702</v>
      </c>
      <c r="N41" s="7" t="s">
        <v>74</v>
      </c>
      <c r="O41" s="11"/>
      <c r="P41" s="11"/>
      <c r="Q41" s="11"/>
      <c r="R41" s="11"/>
    </row>
    <row r="42" customFormat="false" ht="23.85" hidden="false" customHeight="false" outlineLevel="0" collapsed="false">
      <c r="A42" s="6" t="s">
        <v>160</v>
      </c>
      <c r="B42" s="6" t="s">
        <v>693</v>
      </c>
      <c r="C42" s="6" t="s">
        <v>694</v>
      </c>
      <c r="D42" s="7" t="s">
        <v>34</v>
      </c>
      <c r="E42" s="7" t="s">
        <v>661</v>
      </c>
      <c r="F42" s="6" t="s">
        <v>182</v>
      </c>
      <c r="G42" s="6" t="s">
        <v>655</v>
      </c>
      <c r="H42" s="6" t="s">
        <v>656</v>
      </c>
      <c r="I42" s="7" t="s">
        <v>40</v>
      </c>
      <c r="J42" s="7"/>
      <c r="K42" s="6" t="s">
        <v>183</v>
      </c>
      <c r="L42" s="6" t="s">
        <v>184</v>
      </c>
      <c r="M42" s="7"/>
      <c r="N42" s="7" t="s">
        <v>58</v>
      </c>
      <c r="O42" s="11"/>
      <c r="P42" s="11"/>
      <c r="Q42" s="11"/>
      <c r="R42" s="11"/>
    </row>
    <row r="43" customFormat="false" ht="15" hidden="false" customHeight="false" outlineLevel="0" collapsed="false">
      <c r="A43" s="6" t="s">
        <v>196</v>
      </c>
      <c r="B43" s="6" t="s">
        <v>703</v>
      </c>
      <c r="C43" s="6" t="s">
        <v>704</v>
      </c>
      <c r="D43" s="7" t="s">
        <v>64</v>
      </c>
      <c r="E43" s="7" t="s">
        <v>661</v>
      </c>
      <c r="F43" s="6" t="s">
        <v>227</v>
      </c>
      <c r="G43" s="6" t="s">
        <v>655</v>
      </c>
      <c r="H43" s="6" t="s">
        <v>656</v>
      </c>
      <c r="I43" s="6" t="s">
        <v>164</v>
      </c>
      <c r="J43" s="7"/>
      <c r="K43" s="6" t="s">
        <v>228</v>
      </c>
      <c r="L43" s="6" t="s">
        <v>229</v>
      </c>
      <c r="M43" s="6" t="s">
        <v>705</v>
      </c>
      <c r="N43" s="7" t="s">
        <v>75</v>
      </c>
      <c r="O43" s="11"/>
      <c r="P43" s="11"/>
      <c r="Q43" s="11"/>
      <c r="R43" s="11"/>
    </row>
    <row r="44" customFormat="false" ht="23.85" hidden="false" customHeight="false" outlineLevel="0" collapsed="false">
      <c r="A44" s="6" t="s">
        <v>196</v>
      </c>
      <c r="B44" s="6" t="s">
        <v>703</v>
      </c>
      <c r="C44" s="6" t="s">
        <v>704</v>
      </c>
      <c r="D44" s="7" t="s">
        <v>65</v>
      </c>
      <c r="E44" s="7" t="s">
        <v>661</v>
      </c>
      <c r="F44" s="6" t="s">
        <v>212</v>
      </c>
      <c r="G44" s="6" t="s">
        <v>655</v>
      </c>
      <c r="H44" s="6" t="s">
        <v>656</v>
      </c>
      <c r="I44" s="6" t="s">
        <v>216</v>
      </c>
      <c r="J44" s="7"/>
      <c r="K44" s="6" t="s">
        <v>213</v>
      </c>
      <c r="L44" s="6" t="s">
        <v>214</v>
      </c>
      <c r="M44" s="6" t="s">
        <v>706</v>
      </c>
      <c r="N44" s="7" t="s">
        <v>83</v>
      </c>
      <c r="O44" s="11"/>
      <c r="P44" s="11"/>
      <c r="Q44" s="11"/>
      <c r="R44" s="11"/>
    </row>
    <row r="45" customFormat="false" ht="23.85" hidden="false" customHeight="false" outlineLevel="0" collapsed="false">
      <c r="A45" s="6" t="s">
        <v>196</v>
      </c>
      <c r="B45" s="6" t="s">
        <v>703</v>
      </c>
      <c r="C45" s="6" t="s">
        <v>704</v>
      </c>
      <c r="D45" s="7" t="s">
        <v>74</v>
      </c>
      <c r="E45" s="7" t="s">
        <v>661</v>
      </c>
      <c r="F45" s="6" t="s">
        <v>217</v>
      </c>
      <c r="G45" s="6" t="s">
        <v>655</v>
      </c>
      <c r="H45" s="6" t="s">
        <v>656</v>
      </c>
      <c r="I45" s="7" t="s">
        <v>40</v>
      </c>
      <c r="J45" s="7"/>
      <c r="K45" s="6" t="s">
        <v>218</v>
      </c>
      <c r="L45" s="6" t="s">
        <v>219</v>
      </c>
      <c r="M45" s="6" t="s">
        <v>707</v>
      </c>
      <c r="N45" s="7" t="s">
        <v>64</v>
      </c>
      <c r="O45" s="11"/>
      <c r="P45" s="11"/>
      <c r="Q45" s="11"/>
      <c r="R45" s="11"/>
    </row>
    <row r="46" customFormat="false" ht="35.05" hidden="false" customHeight="false" outlineLevel="0" collapsed="false">
      <c r="A46" s="6" t="s">
        <v>196</v>
      </c>
      <c r="B46" s="6" t="s">
        <v>703</v>
      </c>
      <c r="C46" s="6" t="s">
        <v>704</v>
      </c>
      <c r="D46" s="7" t="s">
        <v>75</v>
      </c>
      <c r="E46" s="7" t="s">
        <v>661</v>
      </c>
      <c r="F46" s="6" t="s">
        <v>221</v>
      </c>
      <c r="G46" s="6" t="s">
        <v>655</v>
      </c>
      <c r="H46" s="6" t="s">
        <v>656</v>
      </c>
      <c r="I46" s="7" t="s">
        <v>40</v>
      </c>
      <c r="J46" s="7"/>
      <c r="K46" s="6" t="s">
        <v>222</v>
      </c>
      <c r="L46" s="6" t="s">
        <v>223</v>
      </c>
      <c r="M46" s="6" t="s">
        <v>708</v>
      </c>
      <c r="N46" s="7" t="s">
        <v>84</v>
      </c>
      <c r="O46" s="11"/>
      <c r="P46" s="11"/>
      <c r="Q46" s="11"/>
      <c r="R46" s="11"/>
    </row>
    <row r="47" customFormat="false" ht="23.85" hidden="false" customHeight="false" outlineLevel="0" collapsed="false">
      <c r="A47" s="6" t="s">
        <v>196</v>
      </c>
      <c r="B47" s="6" t="s">
        <v>703</v>
      </c>
      <c r="C47" s="6" t="s">
        <v>704</v>
      </c>
      <c r="D47" s="7" t="s">
        <v>83</v>
      </c>
      <c r="E47" s="7" t="s">
        <v>661</v>
      </c>
      <c r="F47" s="6" t="s">
        <v>195</v>
      </c>
      <c r="G47" s="6" t="s">
        <v>655</v>
      </c>
      <c r="H47" s="6" t="s">
        <v>677</v>
      </c>
      <c r="I47" s="6" t="s">
        <v>164</v>
      </c>
      <c r="J47" s="7"/>
      <c r="K47" s="6" t="s">
        <v>197</v>
      </c>
      <c r="L47" s="6" t="s">
        <v>198</v>
      </c>
      <c r="M47" s="6" t="s">
        <v>709</v>
      </c>
      <c r="N47" s="7" t="s">
        <v>65</v>
      </c>
      <c r="O47" s="11"/>
      <c r="P47" s="11"/>
      <c r="Q47" s="11"/>
      <c r="R47" s="11"/>
    </row>
    <row r="48" customFormat="false" ht="26.85" hidden="false" customHeight="false" outlineLevel="0" collapsed="false">
      <c r="A48" s="6" t="s">
        <v>196</v>
      </c>
      <c r="B48" s="6" t="s">
        <v>703</v>
      </c>
      <c r="C48" s="6" t="s">
        <v>704</v>
      </c>
      <c r="D48" s="7" t="s">
        <v>84</v>
      </c>
      <c r="E48" s="7" t="s">
        <v>661</v>
      </c>
      <c r="F48" s="6" t="s">
        <v>200</v>
      </c>
      <c r="G48" s="6" t="s">
        <v>655</v>
      </c>
      <c r="H48" s="6" t="s">
        <v>677</v>
      </c>
      <c r="I48" s="7" t="s">
        <v>204</v>
      </c>
      <c r="J48" s="7"/>
      <c r="K48" s="6" t="s">
        <v>201</v>
      </c>
      <c r="L48" s="6" t="s">
        <v>202</v>
      </c>
      <c r="M48" s="6" t="s">
        <v>710</v>
      </c>
      <c r="N48" s="7" t="s">
        <v>34</v>
      </c>
      <c r="O48" s="11"/>
      <c r="P48" s="11"/>
      <c r="Q48" s="11"/>
      <c r="R48" s="11"/>
    </row>
    <row r="49" customFormat="false" ht="23.85" hidden="false" customHeight="false" outlineLevel="0" collapsed="false">
      <c r="A49" s="6" t="s">
        <v>196</v>
      </c>
      <c r="B49" s="6" t="s">
        <v>703</v>
      </c>
      <c r="C49" s="6" t="s">
        <v>704</v>
      </c>
      <c r="D49" s="7" t="s">
        <v>58</v>
      </c>
      <c r="E49" s="7" t="s">
        <v>661</v>
      </c>
      <c r="F49" s="6" t="s">
        <v>205</v>
      </c>
      <c r="G49" s="6" t="s">
        <v>655</v>
      </c>
      <c r="H49" s="6" t="s">
        <v>677</v>
      </c>
      <c r="I49" s="7" t="s">
        <v>40</v>
      </c>
      <c r="J49" s="7"/>
      <c r="K49" s="6" t="s">
        <v>206</v>
      </c>
      <c r="L49" s="6" t="s">
        <v>162</v>
      </c>
      <c r="M49" s="6" t="s">
        <v>711</v>
      </c>
      <c r="N49" s="7" t="s">
        <v>74</v>
      </c>
      <c r="O49" s="11"/>
      <c r="P49" s="11"/>
      <c r="Q49" s="11"/>
      <c r="R49" s="11"/>
    </row>
    <row r="50" customFormat="false" ht="23.85" hidden="false" customHeight="false" outlineLevel="0" collapsed="false">
      <c r="A50" s="6" t="s">
        <v>196</v>
      </c>
      <c r="B50" s="6" t="s">
        <v>703</v>
      </c>
      <c r="C50" s="6" t="s">
        <v>704</v>
      </c>
      <c r="D50" s="7" t="s">
        <v>34</v>
      </c>
      <c r="E50" s="7" t="s">
        <v>661</v>
      </c>
      <c r="F50" s="6" t="s">
        <v>208</v>
      </c>
      <c r="G50" s="6" t="s">
        <v>655</v>
      </c>
      <c r="H50" s="6" t="s">
        <v>677</v>
      </c>
      <c r="I50" s="6" t="s">
        <v>164</v>
      </c>
      <c r="J50" s="7"/>
      <c r="K50" s="6" t="s">
        <v>209</v>
      </c>
      <c r="L50" s="6" t="s">
        <v>210</v>
      </c>
      <c r="M50" s="6" t="s">
        <v>712</v>
      </c>
      <c r="N50" s="7" t="s">
        <v>58</v>
      </c>
      <c r="O50" s="11"/>
      <c r="P50" s="11"/>
      <c r="Q50" s="11"/>
      <c r="R50" s="11"/>
    </row>
    <row r="51" customFormat="false" ht="23.85" hidden="false" customHeight="false" outlineLevel="0" collapsed="false">
      <c r="A51" s="6" t="s">
        <v>232</v>
      </c>
      <c r="B51" s="6" t="s">
        <v>713</v>
      </c>
      <c r="C51" s="6" t="s">
        <v>714</v>
      </c>
      <c r="D51" s="7" t="s">
        <v>64</v>
      </c>
      <c r="E51" s="7" t="s">
        <v>661</v>
      </c>
      <c r="F51" s="6" t="s">
        <v>239</v>
      </c>
      <c r="G51" s="6" t="s">
        <v>655</v>
      </c>
      <c r="H51" s="6" t="s">
        <v>677</v>
      </c>
      <c r="I51" s="6" t="s">
        <v>164</v>
      </c>
      <c r="J51" s="7"/>
      <c r="K51" s="6" t="s">
        <v>240</v>
      </c>
      <c r="L51" s="6" t="s">
        <v>241</v>
      </c>
      <c r="M51" s="6" t="s">
        <v>715</v>
      </c>
      <c r="N51" s="7" t="s">
        <v>75</v>
      </c>
      <c r="O51" s="11"/>
      <c r="P51" s="11"/>
      <c r="Q51" s="11"/>
      <c r="R51" s="11"/>
    </row>
    <row r="52" customFormat="false" ht="23.85" hidden="false" customHeight="false" outlineLevel="0" collapsed="false">
      <c r="A52" s="6" t="s">
        <v>232</v>
      </c>
      <c r="B52" s="6" t="s">
        <v>713</v>
      </c>
      <c r="C52" s="6" t="s">
        <v>714</v>
      </c>
      <c r="D52" s="7" t="s">
        <v>65</v>
      </c>
      <c r="E52" s="7" t="s">
        <v>661</v>
      </c>
      <c r="F52" s="6" t="s">
        <v>231</v>
      </c>
      <c r="G52" s="6" t="s">
        <v>655</v>
      </c>
      <c r="H52" s="6" t="s">
        <v>677</v>
      </c>
      <c r="I52" s="6" t="s">
        <v>164</v>
      </c>
      <c r="J52" s="7"/>
      <c r="K52" s="6" t="s">
        <v>233</v>
      </c>
      <c r="L52" s="6" t="s">
        <v>210</v>
      </c>
      <c r="M52" s="6" t="s">
        <v>716</v>
      </c>
      <c r="N52" s="7" t="s">
        <v>83</v>
      </c>
      <c r="O52" s="11"/>
      <c r="P52" s="11"/>
      <c r="Q52" s="11"/>
      <c r="R52" s="11"/>
    </row>
    <row r="53" customFormat="false" ht="23.85" hidden="false" customHeight="false" outlineLevel="0" collapsed="false">
      <c r="A53" s="6" t="s">
        <v>232</v>
      </c>
      <c r="B53" s="6" t="s">
        <v>713</v>
      </c>
      <c r="C53" s="6" t="s">
        <v>714</v>
      </c>
      <c r="D53" s="7" t="s">
        <v>74</v>
      </c>
      <c r="E53" s="7" t="s">
        <v>661</v>
      </c>
      <c r="F53" s="6" t="s">
        <v>235</v>
      </c>
      <c r="G53" s="6" t="s">
        <v>655</v>
      </c>
      <c r="H53" s="6" t="s">
        <v>677</v>
      </c>
      <c r="I53" s="7" t="s">
        <v>40</v>
      </c>
      <c r="J53" s="7"/>
      <c r="K53" s="6" t="s">
        <v>236</v>
      </c>
      <c r="L53" s="6" t="s">
        <v>237</v>
      </c>
      <c r="M53" s="6" t="s">
        <v>717</v>
      </c>
      <c r="N53" s="7" t="s">
        <v>64</v>
      </c>
      <c r="O53" s="11"/>
      <c r="P53" s="11"/>
      <c r="Q53" s="11"/>
      <c r="R53" s="11"/>
    </row>
    <row r="54" customFormat="false" ht="23.85" hidden="false" customHeight="false" outlineLevel="0" collapsed="false">
      <c r="A54" s="6" t="s">
        <v>232</v>
      </c>
      <c r="B54" s="6" t="s">
        <v>713</v>
      </c>
      <c r="C54" s="6" t="s">
        <v>714</v>
      </c>
      <c r="D54" s="7" t="s">
        <v>75</v>
      </c>
      <c r="E54" s="7" t="s">
        <v>661</v>
      </c>
      <c r="F54" s="6" t="s">
        <v>243</v>
      </c>
      <c r="G54" s="6" t="s">
        <v>655</v>
      </c>
      <c r="H54" s="6" t="s">
        <v>677</v>
      </c>
      <c r="I54" s="7" t="s">
        <v>247</v>
      </c>
      <c r="J54" s="7"/>
      <c r="K54" s="6" t="s">
        <v>244</v>
      </c>
      <c r="L54" s="6" t="s">
        <v>245</v>
      </c>
      <c r="M54" s="6" t="s">
        <v>718</v>
      </c>
      <c r="N54" s="7" t="s">
        <v>84</v>
      </c>
      <c r="O54" s="11"/>
      <c r="P54" s="11"/>
      <c r="Q54" s="11"/>
      <c r="R54" s="11"/>
    </row>
    <row r="55" customFormat="false" ht="23.85" hidden="false" customHeight="false" outlineLevel="0" collapsed="false">
      <c r="A55" s="6" t="s">
        <v>232</v>
      </c>
      <c r="B55" s="6" t="s">
        <v>713</v>
      </c>
      <c r="C55" s="6" t="s">
        <v>714</v>
      </c>
      <c r="D55" s="7" t="s">
        <v>83</v>
      </c>
      <c r="E55" s="7" t="s">
        <v>661</v>
      </c>
      <c r="F55" s="6" t="s">
        <v>248</v>
      </c>
      <c r="G55" s="6" t="s">
        <v>655</v>
      </c>
      <c r="H55" s="6" t="s">
        <v>677</v>
      </c>
      <c r="I55" s="6" t="s">
        <v>164</v>
      </c>
      <c r="J55" s="7"/>
      <c r="K55" s="6" t="s">
        <v>249</v>
      </c>
      <c r="L55" s="6" t="s">
        <v>250</v>
      </c>
      <c r="M55" s="6" t="s">
        <v>719</v>
      </c>
      <c r="N55" s="7" t="s">
        <v>65</v>
      </c>
      <c r="O55" s="11"/>
      <c r="P55" s="11"/>
      <c r="Q55" s="11"/>
      <c r="R55" s="11"/>
    </row>
    <row r="56" customFormat="false" ht="35.05" hidden="false" customHeight="false" outlineLevel="0" collapsed="false">
      <c r="A56" s="6" t="s">
        <v>232</v>
      </c>
      <c r="B56" s="6" t="s">
        <v>713</v>
      </c>
      <c r="C56" s="6" t="s">
        <v>714</v>
      </c>
      <c r="D56" s="7" t="s">
        <v>84</v>
      </c>
      <c r="E56" s="7" t="s">
        <v>661</v>
      </c>
      <c r="F56" s="6" t="s">
        <v>252</v>
      </c>
      <c r="G56" s="6" t="s">
        <v>655</v>
      </c>
      <c r="H56" s="6" t="s">
        <v>677</v>
      </c>
      <c r="I56" s="7" t="s">
        <v>40</v>
      </c>
      <c r="J56" s="7"/>
      <c r="K56" s="6" t="s">
        <v>253</v>
      </c>
      <c r="L56" s="6" t="s">
        <v>254</v>
      </c>
      <c r="M56" s="6" t="s">
        <v>720</v>
      </c>
      <c r="N56" s="7" t="s">
        <v>34</v>
      </c>
      <c r="O56" s="11"/>
      <c r="P56" s="11"/>
      <c r="Q56" s="11"/>
      <c r="R56" s="11"/>
    </row>
    <row r="57" customFormat="false" ht="23.85" hidden="false" customHeight="false" outlineLevel="0" collapsed="false">
      <c r="A57" s="6" t="s">
        <v>232</v>
      </c>
      <c r="B57" s="6" t="s">
        <v>713</v>
      </c>
      <c r="C57" s="6" t="s">
        <v>714</v>
      </c>
      <c r="D57" s="7" t="s">
        <v>58</v>
      </c>
      <c r="E57" s="7" t="s">
        <v>661</v>
      </c>
      <c r="F57" s="6" t="s">
        <v>257</v>
      </c>
      <c r="G57" s="6" t="s">
        <v>655</v>
      </c>
      <c r="H57" s="6" t="s">
        <v>677</v>
      </c>
      <c r="I57" s="6" t="s">
        <v>164</v>
      </c>
      <c r="J57" s="7"/>
      <c r="K57" s="6" t="s">
        <v>258</v>
      </c>
      <c r="L57" s="6" t="s">
        <v>259</v>
      </c>
      <c r="M57" s="6" t="s">
        <v>721</v>
      </c>
      <c r="N57" s="7" t="s">
        <v>74</v>
      </c>
      <c r="O57" s="11"/>
      <c r="P57" s="11"/>
      <c r="Q57" s="11"/>
      <c r="R57" s="11"/>
    </row>
    <row r="58" customFormat="false" ht="23.85" hidden="false" customHeight="false" outlineLevel="0" collapsed="false">
      <c r="A58" s="6" t="s">
        <v>232</v>
      </c>
      <c r="B58" s="6" t="s">
        <v>713</v>
      </c>
      <c r="C58" s="6" t="s">
        <v>714</v>
      </c>
      <c r="D58" s="7" t="s">
        <v>34</v>
      </c>
      <c r="E58" s="7" t="s">
        <v>661</v>
      </c>
      <c r="F58" s="6" t="s">
        <v>261</v>
      </c>
      <c r="G58" s="6" t="s">
        <v>655</v>
      </c>
      <c r="H58" s="6" t="s">
        <v>677</v>
      </c>
      <c r="I58" s="6" t="s">
        <v>164</v>
      </c>
      <c r="J58" s="7"/>
      <c r="K58" s="6" t="s">
        <v>262</v>
      </c>
      <c r="L58" s="6" t="s">
        <v>162</v>
      </c>
      <c r="M58" s="6" t="s">
        <v>722</v>
      </c>
      <c r="N58" s="7" t="s">
        <v>58</v>
      </c>
      <c r="O58" s="11"/>
      <c r="P58" s="11"/>
      <c r="Q58" s="11"/>
      <c r="R58" s="11"/>
    </row>
    <row r="59" customFormat="false" ht="23.85" hidden="false" customHeight="false" outlineLevel="0" collapsed="false">
      <c r="A59" s="6" t="s">
        <v>265</v>
      </c>
      <c r="B59" s="6" t="s">
        <v>723</v>
      </c>
      <c r="C59" s="6" t="s">
        <v>724</v>
      </c>
      <c r="D59" s="7" t="s">
        <v>64</v>
      </c>
      <c r="E59" s="7" t="s">
        <v>661</v>
      </c>
      <c r="F59" s="6" t="s">
        <v>269</v>
      </c>
      <c r="G59" s="6" t="s">
        <v>655</v>
      </c>
      <c r="H59" s="6" t="s">
        <v>677</v>
      </c>
      <c r="I59" s="7" t="s">
        <v>40</v>
      </c>
      <c r="J59" s="7"/>
      <c r="K59" s="6" t="s">
        <v>270</v>
      </c>
      <c r="L59" s="6" t="s">
        <v>245</v>
      </c>
      <c r="M59" s="6" t="s">
        <v>725</v>
      </c>
      <c r="N59" s="7" t="s">
        <v>75</v>
      </c>
      <c r="O59" s="11"/>
      <c r="P59" s="11"/>
      <c r="Q59" s="11"/>
      <c r="R59" s="11"/>
    </row>
    <row r="60" customFormat="false" ht="23.85" hidden="false" customHeight="false" outlineLevel="0" collapsed="false">
      <c r="A60" s="6" t="s">
        <v>265</v>
      </c>
      <c r="B60" s="6" t="s">
        <v>723</v>
      </c>
      <c r="C60" s="6" t="s">
        <v>724</v>
      </c>
      <c r="D60" s="7" t="s">
        <v>65</v>
      </c>
      <c r="E60" s="7" t="s">
        <v>661</v>
      </c>
      <c r="F60" s="6" t="s">
        <v>272</v>
      </c>
      <c r="G60" s="6" t="s">
        <v>655</v>
      </c>
      <c r="H60" s="6" t="s">
        <v>677</v>
      </c>
      <c r="I60" s="6" t="s">
        <v>164</v>
      </c>
      <c r="J60" s="7"/>
      <c r="K60" s="6" t="s">
        <v>273</v>
      </c>
      <c r="L60" s="6" t="s">
        <v>198</v>
      </c>
      <c r="M60" s="6" t="s">
        <v>726</v>
      </c>
      <c r="N60" s="7" t="s">
        <v>83</v>
      </c>
      <c r="O60" s="11"/>
      <c r="P60" s="11"/>
      <c r="Q60" s="11"/>
      <c r="R60" s="11"/>
    </row>
    <row r="61" customFormat="false" ht="23.85" hidden="false" customHeight="false" outlineLevel="0" collapsed="false">
      <c r="A61" s="6" t="s">
        <v>265</v>
      </c>
      <c r="B61" s="6" t="s">
        <v>723</v>
      </c>
      <c r="C61" s="6" t="s">
        <v>724</v>
      </c>
      <c r="D61" s="7" t="s">
        <v>74</v>
      </c>
      <c r="E61" s="7" t="s">
        <v>661</v>
      </c>
      <c r="F61" s="6" t="s">
        <v>275</v>
      </c>
      <c r="G61" s="6" t="s">
        <v>655</v>
      </c>
      <c r="H61" s="6" t="s">
        <v>677</v>
      </c>
      <c r="I61" s="6" t="s">
        <v>164</v>
      </c>
      <c r="J61" s="7"/>
      <c r="K61" s="6" t="s">
        <v>276</v>
      </c>
      <c r="L61" s="6" t="s">
        <v>277</v>
      </c>
      <c r="M61" s="6" t="s">
        <v>727</v>
      </c>
      <c r="N61" s="7" t="s">
        <v>64</v>
      </c>
      <c r="O61" s="11"/>
      <c r="P61" s="11"/>
      <c r="Q61" s="11"/>
      <c r="R61" s="11"/>
    </row>
    <row r="62" customFormat="false" ht="23.85" hidden="false" customHeight="false" outlineLevel="0" collapsed="false">
      <c r="A62" s="6" t="s">
        <v>265</v>
      </c>
      <c r="B62" s="6" t="s">
        <v>723</v>
      </c>
      <c r="C62" s="6" t="s">
        <v>724</v>
      </c>
      <c r="D62" s="7" t="s">
        <v>75</v>
      </c>
      <c r="E62" s="7" t="s">
        <v>661</v>
      </c>
      <c r="F62" s="6" t="s">
        <v>279</v>
      </c>
      <c r="G62" s="6" t="s">
        <v>655</v>
      </c>
      <c r="H62" s="6" t="s">
        <v>677</v>
      </c>
      <c r="I62" s="6" t="s">
        <v>216</v>
      </c>
      <c r="J62" s="7"/>
      <c r="K62" s="6" t="s">
        <v>280</v>
      </c>
      <c r="L62" s="6" t="s">
        <v>281</v>
      </c>
      <c r="M62" s="6" t="s">
        <v>728</v>
      </c>
      <c r="N62" s="7" t="s">
        <v>84</v>
      </c>
      <c r="O62" s="11"/>
      <c r="P62" s="11"/>
      <c r="Q62" s="11"/>
      <c r="R62" s="11"/>
    </row>
    <row r="63" customFormat="false" ht="35.05" hidden="false" customHeight="false" outlineLevel="0" collapsed="false">
      <c r="A63" s="6" t="s">
        <v>265</v>
      </c>
      <c r="B63" s="6" t="s">
        <v>723</v>
      </c>
      <c r="C63" s="6" t="s">
        <v>724</v>
      </c>
      <c r="D63" s="7" t="s">
        <v>83</v>
      </c>
      <c r="E63" s="7" t="s">
        <v>661</v>
      </c>
      <c r="F63" s="6" t="s">
        <v>283</v>
      </c>
      <c r="G63" s="6" t="s">
        <v>655</v>
      </c>
      <c r="H63" s="6" t="s">
        <v>677</v>
      </c>
      <c r="I63" s="6" t="s">
        <v>216</v>
      </c>
      <c r="J63" s="7"/>
      <c r="K63" s="6" t="s">
        <v>284</v>
      </c>
      <c r="L63" s="6" t="s">
        <v>285</v>
      </c>
      <c r="M63" s="6" t="s">
        <v>729</v>
      </c>
      <c r="N63" s="7" t="s">
        <v>65</v>
      </c>
      <c r="O63" s="11"/>
      <c r="P63" s="11"/>
      <c r="Q63" s="11"/>
      <c r="R63" s="11"/>
    </row>
    <row r="64" customFormat="false" ht="23.85" hidden="false" customHeight="false" outlineLevel="0" collapsed="false">
      <c r="A64" s="6" t="s">
        <v>265</v>
      </c>
      <c r="B64" s="6" t="s">
        <v>723</v>
      </c>
      <c r="C64" s="6" t="s">
        <v>724</v>
      </c>
      <c r="D64" s="7" t="s">
        <v>84</v>
      </c>
      <c r="E64" s="7" t="s">
        <v>661</v>
      </c>
      <c r="F64" s="6" t="s">
        <v>287</v>
      </c>
      <c r="G64" s="6" t="s">
        <v>655</v>
      </c>
      <c r="H64" s="6" t="s">
        <v>648</v>
      </c>
      <c r="I64" s="6" t="s">
        <v>164</v>
      </c>
      <c r="J64" s="7"/>
      <c r="K64" s="6" t="s">
        <v>288</v>
      </c>
      <c r="L64" s="6" t="s">
        <v>162</v>
      </c>
      <c r="M64" s="6" t="s">
        <v>730</v>
      </c>
      <c r="N64" s="7" t="s">
        <v>34</v>
      </c>
      <c r="O64" s="11"/>
      <c r="P64" s="11"/>
      <c r="Q64" s="11"/>
      <c r="R64" s="11"/>
    </row>
    <row r="65" customFormat="false" ht="23.85" hidden="false" customHeight="false" outlineLevel="0" collapsed="false">
      <c r="A65" s="6" t="s">
        <v>265</v>
      </c>
      <c r="B65" s="6" t="s">
        <v>723</v>
      </c>
      <c r="C65" s="6" t="s">
        <v>724</v>
      </c>
      <c r="D65" s="7" t="s">
        <v>58</v>
      </c>
      <c r="E65" s="7" t="s">
        <v>661</v>
      </c>
      <c r="F65" s="6" t="s">
        <v>264</v>
      </c>
      <c r="G65" s="6" t="s">
        <v>655</v>
      </c>
      <c r="H65" s="6" t="s">
        <v>648</v>
      </c>
      <c r="I65" s="7" t="s">
        <v>40</v>
      </c>
      <c r="J65" s="7"/>
      <c r="K65" s="6" t="s">
        <v>266</v>
      </c>
      <c r="L65" s="6" t="s">
        <v>267</v>
      </c>
      <c r="M65" s="6" t="s">
        <v>731</v>
      </c>
      <c r="N65" s="7" t="s">
        <v>74</v>
      </c>
      <c r="O65" s="11"/>
      <c r="P65" s="11"/>
      <c r="Q65" s="11"/>
      <c r="R65" s="11"/>
    </row>
    <row r="66" customFormat="false" ht="23.85" hidden="false" customHeight="false" outlineLevel="0" collapsed="false">
      <c r="A66" s="6" t="s">
        <v>265</v>
      </c>
      <c r="B66" s="6" t="s">
        <v>723</v>
      </c>
      <c r="C66" s="6" t="s">
        <v>724</v>
      </c>
      <c r="D66" s="7" t="s">
        <v>34</v>
      </c>
      <c r="E66" s="7" t="s">
        <v>661</v>
      </c>
      <c r="F66" s="6" t="s">
        <v>290</v>
      </c>
      <c r="G66" s="6" t="s">
        <v>655</v>
      </c>
      <c r="H66" s="6" t="s">
        <v>648</v>
      </c>
      <c r="I66" s="7" t="s">
        <v>40</v>
      </c>
      <c r="J66" s="7"/>
      <c r="K66" s="6" t="s">
        <v>291</v>
      </c>
      <c r="L66" s="6" t="s">
        <v>237</v>
      </c>
      <c r="M66" s="6" t="s">
        <v>732</v>
      </c>
      <c r="N66" s="7" t="s">
        <v>58</v>
      </c>
      <c r="O66" s="11"/>
      <c r="P66" s="11"/>
      <c r="Q66" s="11"/>
      <c r="R66" s="11"/>
    </row>
    <row r="67" customFormat="false" ht="23.85" hidden="false" customHeight="false" outlineLevel="0" collapsed="false">
      <c r="A67" s="6" t="s">
        <v>294</v>
      </c>
      <c r="B67" s="6" t="s">
        <v>733</v>
      </c>
      <c r="C67" s="6" t="s">
        <v>734</v>
      </c>
      <c r="D67" s="7" t="s">
        <v>64</v>
      </c>
      <c r="E67" s="7" t="s">
        <v>661</v>
      </c>
      <c r="F67" s="6" t="s">
        <v>316</v>
      </c>
      <c r="G67" s="6" t="s">
        <v>655</v>
      </c>
      <c r="H67" s="6" t="s">
        <v>648</v>
      </c>
      <c r="I67" s="6" t="s">
        <v>164</v>
      </c>
      <c r="J67" s="7"/>
      <c r="K67" s="6" t="s">
        <v>317</v>
      </c>
      <c r="L67" s="6" t="s">
        <v>250</v>
      </c>
      <c r="M67" s="6" t="s">
        <v>735</v>
      </c>
      <c r="N67" s="7" t="s">
        <v>74</v>
      </c>
      <c r="O67" s="11"/>
      <c r="P67" s="11"/>
      <c r="Q67" s="11"/>
      <c r="R67" s="11"/>
    </row>
    <row r="68" customFormat="false" ht="23.85" hidden="false" customHeight="false" outlineLevel="0" collapsed="false">
      <c r="A68" s="6" t="s">
        <v>294</v>
      </c>
      <c r="B68" s="6" t="s">
        <v>733</v>
      </c>
      <c r="C68" s="6" t="s">
        <v>734</v>
      </c>
      <c r="D68" s="7" t="s">
        <v>65</v>
      </c>
      <c r="E68" s="7" t="s">
        <v>661</v>
      </c>
      <c r="F68" s="6" t="s">
        <v>293</v>
      </c>
      <c r="G68" s="6" t="s">
        <v>655</v>
      </c>
      <c r="H68" s="6" t="s">
        <v>648</v>
      </c>
      <c r="I68" s="6" t="s">
        <v>216</v>
      </c>
      <c r="J68" s="7"/>
      <c r="K68" s="6" t="s">
        <v>295</v>
      </c>
      <c r="L68" s="6" t="s">
        <v>296</v>
      </c>
      <c r="M68" s="6" t="s">
        <v>736</v>
      </c>
      <c r="N68" s="7" t="s">
        <v>84</v>
      </c>
      <c r="O68" s="11"/>
      <c r="P68" s="11"/>
      <c r="Q68" s="11"/>
      <c r="R68" s="11"/>
    </row>
    <row r="69" customFormat="false" ht="23.85" hidden="false" customHeight="false" outlineLevel="0" collapsed="false">
      <c r="A69" s="6" t="s">
        <v>294</v>
      </c>
      <c r="B69" s="6" t="s">
        <v>733</v>
      </c>
      <c r="C69" s="6" t="s">
        <v>734</v>
      </c>
      <c r="D69" s="7" t="s">
        <v>74</v>
      </c>
      <c r="E69" s="7" t="s">
        <v>661</v>
      </c>
      <c r="F69" s="6" t="s">
        <v>298</v>
      </c>
      <c r="G69" s="6" t="s">
        <v>655</v>
      </c>
      <c r="H69" s="6" t="s">
        <v>648</v>
      </c>
      <c r="I69" s="7" t="s">
        <v>40</v>
      </c>
      <c r="J69" s="7"/>
      <c r="K69" s="6" t="s">
        <v>299</v>
      </c>
      <c r="L69" s="6" t="s">
        <v>300</v>
      </c>
      <c r="M69" s="6" t="s">
        <v>737</v>
      </c>
      <c r="N69" s="7" t="s">
        <v>64</v>
      </c>
      <c r="O69" s="11"/>
      <c r="P69" s="11"/>
      <c r="Q69" s="11"/>
      <c r="R69" s="11"/>
    </row>
    <row r="70" customFormat="false" ht="23.85" hidden="false" customHeight="false" outlineLevel="0" collapsed="false">
      <c r="A70" s="6" t="s">
        <v>294</v>
      </c>
      <c r="B70" s="6" t="s">
        <v>733</v>
      </c>
      <c r="C70" s="6" t="s">
        <v>734</v>
      </c>
      <c r="D70" s="7" t="s">
        <v>75</v>
      </c>
      <c r="E70" s="7" t="s">
        <v>661</v>
      </c>
      <c r="F70" s="6" t="s">
        <v>319</v>
      </c>
      <c r="G70" s="6" t="s">
        <v>655</v>
      </c>
      <c r="H70" s="6" t="s">
        <v>648</v>
      </c>
      <c r="I70" s="6" t="s">
        <v>216</v>
      </c>
      <c r="J70" s="7"/>
      <c r="K70" s="6" t="s">
        <v>320</v>
      </c>
      <c r="L70" s="6" t="s">
        <v>321</v>
      </c>
      <c r="M70" s="6" t="s">
        <v>738</v>
      </c>
      <c r="N70" s="7" t="s">
        <v>58</v>
      </c>
      <c r="O70" s="11"/>
      <c r="P70" s="11"/>
      <c r="Q70" s="11"/>
      <c r="R70" s="11"/>
    </row>
    <row r="71" customFormat="false" ht="35.05" hidden="false" customHeight="false" outlineLevel="0" collapsed="false">
      <c r="A71" s="6" t="s">
        <v>294</v>
      </c>
      <c r="B71" s="6" t="s">
        <v>733</v>
      </c>
      <c r="C71" s="6" t="s">
        <v>734</v>
      </c>
      <c r="D71" s="7" t="s">
        <v>83</v>
      </c>
      <c r="E71" s="7" t="s">
        <v>661</v>
      </c>
      <c r="F71" s="6" t="s">
        <v>302</v>
      </c>
      <c r="G71" s="6" t="s">
        <v>655</v>
      </c>
      <c r="H71" s="6" t="s">
        <v>648</v>
      </c>
      <c r="I71" s="7" t="s">
        <v>40</v>
      </c>
      <c r="J71" s="7"/>
      <c r="K71" s="6" t="s">
        <v>303</v>
      </c>
      <c r="L71" s="6" t="s">
        <v>254</v>
      </c>
      <c r="M71" s="6" t="s">
        <v>739</v>
      </c>
      <c r="N71" s="7" t="s">
        <v>34</v>
      </c>
      <c r="O71" s="11"/>
      <c r="P71" s="11"/>
      <c r="Q71" s="11"/>
      <c r="R71" s="11"/>
    </row>
    <row r="72" customFormat="false" ht="23.85" hidden="false" customHeight="false" outlineLevel="0" collapsed="false">
      <c r="A72" s="6" t="s">
        <v>294</v>
      </c>
      <c r="B72" s="6" t="s">
        <v>733</v>
      </c>
      <c r="C72" s="6" t="s">
        <v>734</v>
      </c>
      <c r="D72" s="7" t="s">
        <v>84</v>
      </c>
      <c r="E72" s="7" t="s">
        <v>661</v>
      </c>
      <c r="F72" s="6" t="s">
        <v>305</v>
      </c>
      <c r="G72" s="6" t="s">
        <v>655</v>
      </c>
      <c r="H72" s="6" t="s">
        <v>648</v>
      </c>
      <c r="I72" s="7" t="s">
        <v>40</v>
      </c>
      <c r="J72" s="7"/>
      <c r="K72" s="6" t="s">
        <v>306</v>
      </c>
      <c r="L72" s="6" t="s">
        <v>307</v>
      </c>
      <c r="M72" s="6" t="s">
        <v>740</v>
      </c>
      <c r="N72" s="7" t="s">
        <v>65</v>
      </c>
      <c r="O72" s="11"/>
      <c r="P72" s="11"/>
      <c r="Q72" s="11"/>
      <c r="R72" s="11"/>
    </row>
    <row r="73" customFormat="false" ht="23.85" hidden="false" customHeight="false" outlineLevel="0" collapsed="false">
      <c r="A73" s="6" t="s">
        <v>294</v>
      </c>
      <c r="B73" s="6" t="s">
        <v>733</v>
      </c>
      <c r="C73" s="6" t="s">
        <v>734</v>
      </c>
      <c r="D73" s="7" t="s">
        <v>58</v>
      </c>
      <c r="E73" s="7" t="s">
        <v>661</v>
      </c>
      <c r="F73" s="6" t="s">
        <v>310</v>
      </c>
      <c r="G73" s="6" t="s">
        <v>670</v>
      </c>
      <c r="H73" s="6" t="s">
        <v>656</v>
      </c>
      <c r="I73" s="7" t="s">
        <v>40</v>
      </c>
      <c r="J73" s="7"/>
      <c r="K73" s="6" t="s">
        <v>311</v>
      </c>
      <c r="L73" s="6" t="s">
        <v>307</v>
      </c>
      <c r="M73" s="6" t="s">
        <v>741</v>
      </c>
      <c r="N73" s="7" t="s">
        <v>75</v>
      </c>
      <c r="O73" s="11"/>
      <c r="P73" s="11"/>
      <c r="Q73" s="11"/>
      <c r="R73" s="11"/>
    </row>
    <row r="74" customFormat="false" ht="23.85" hidden="false" customHeight="false" outlineLevel="0" collapsed="false">
      <c r="A74" s="6" t="s">
        <v>294</v>
      </c>
      <c r="B74" s="6" t="s">
        <v>733</v>
      </c>
      <c r="C74" s="6" t="s">
        <v>734</v>
      </c>
      <c r="D74" s="7" t="s">
        <v>34</v>
      </c>
      <c r="E74" s="7" t="s">
        <v>661</v>
      </c>
      <c r="F74" s="6" t="s">
        <v>313</v>
      </c>
      <c r="G74" s="6" t="s">
        <v>670</v>
      </c>
      <c r="H74" s="6" t="s">
        <v>656</v>
      </c>
      <c r="I74" s="7" t="s">
        <v>40</v>
      </c>
      <c r="J74" s="7"/>
      <c r="K74" s="6" t="s">
        <v>314</v>
      </c>
      <c r="L74" s="6" t="s">
        <v>219</v>
      </c>
      <c r="M74" s="6" t="s">
        <v>742</v>
      </c>
      <c r="N74" s="7" t="s">
        <v>83</v>
      </c>
      <c r="O74" s="11"/>
      <c r="P74" s="11"/>
      <c r="Q74" s="11"/>
      <c r="R74" s="11"/>
    </row>
    <row r="75" customFormat="false" ht="23.85" hidden="false" customHeight="false" outlineLevel="0" collapsed="false">
      <c r="A75" s="6" t="s">
        <v>325</v>
      </c>
      <c r="B75" s="6" t="s">
        <v>743</v>
      </c>
      <c r="C75" s="6" t="s">
        <v>744</v>
      </c>
      <c r="D75" s="7" t="s">
        <v>64</v>
      </c>
      <c r="E75" s="7" t="s">
        <v>661</v>
      </c>
      <c r="F75" s="6" t="s">
        <v>337</v>
      </c>
      <c r="G75" s="6" t="s">
        <v>670</v>
      </c>
      <c r="H75" s="6" t="s">
        <v>656</v>
      </c>
      <c r="I75" s="6" t="s">
        <v>164</v>
      </c>
      <c r="J75" s="7"/>
      <c r="K75" s="6" t="s">
        <v>338</v>
      </c>
      <c r="L75" s="6" t="s">
        <v>339</v>
      </c>
      <c r="M75" s="6" t="s">
        <v>745</v>
      </c>
      <c r="N75" s="7" t="s">
        <v>74</v>
      </c>
      <c r="O75" s="11"/>
      <c r="P75" s="11"/>
      <c r="Q75" s="11"/>
      <c r="R75" s="11"/>
    </row>
    <row r="76" customFormat="false" ht="23.85" hidden="false" customHeight="false" outlineLevel="0" collapsed="false">
      <c r="A76" s="6" t="s">
        <v>325</v>
      </c>
      <c r="B76" s="6" t="s">
        <v>743</v>
      </c>
      <c r="C76" s="6" t="s">
        <v>744</v>
      </c>
      <c r="D76" s="7" t="s">
        <v>65</v>
      </c>
      <c r="E76" s="7" t="s">
        <v>661</v>
      </c>
      <c r="F76" s="6" t="s">
        <v>341</v>
      </c>
      <c r="G76" s="6" t="s">
        <v>670</v>
      </c>
      <c r="H76" s="6" t="s">
        <v>656</v>
      </c>
      <c r="I76" s="7" t="s">
        <v>40</v>
      </c>
      <c r="J76" s="7"/>
      <c r="K76" s="6" t="s">
        <v>342</v>
      </c>
      <c r="L76" s="6" t="s">
        <v>296</v>
      </c>
      <c r="M76" s="6" t="s">
        <v>746</v>
      </c>
      <c r="N76" s="7" t="s">
        <v>84</v>
      </c>
      <c r="O76" s="11"/>
      <c r="P76" s="11"/>
      <c r="Q76" s="11"/>
      <c r="R76" s="11"/>
    </row>
    <row r="77" customFormat="false" ht="23.85" hidden="false" customHeight="false" outlineLevel="0" collapsed="false">
      <c r="A77" s="6" t="s">
        <v>325</v>
      </c>
      <c r="B77" s="6" t="s">
        <v>743</v>
      </c>
      <c r="C77" s="6" t="s">
        <v>744</v>
      </c>
      <c r="D77" s="7" t="s">
        <v>74</v>
      </c>
      <c r="E77" s="7" t="s">
        <v>661</v>
      </c>
      <c r="F77" s="6" t="s">
        <v>353</v>
      </c>
      <c r="G77" s="6" t="s">
        <v>670</v>
      </c>
      <c r="H77" s="6" t="s">
        <v>656</v>
      </c>
      <c r="I77" s="6" t="s">
        <v>164</v>
      </c>
      <c r="J77" s="7"/>
      <c r="K77" s="6" t="s">
        <v>354</v>
      </c>
      <c r="L77" s="6" t="s">
        <v>250</v>
      </c>
      <c r="M77" s="6" t="s">
        <v>747</v>
      </c>
      <c r="N77" s="7" t="s">
        <v>64</v>
      </c>
      <c r="O77" s="11"/>
      <c r="P77" s="11"/>
      <c r="Q77" s="11"/>
      <c r="R77" s="11"/>
    </row>
    <row r="78" customFormat="false" ht="15" hidden="false" customHeight="false" outlineLevel="0" collapsed="false">
      <c r="A78" s="6" t="s">
        <v>325</v>
      </c>
      <c r="B78" s="6" t="s">
        <v>743</v>
      </c>
      <c r="C78" s="6" t="s">
        <v>744</v>
      </c>
      <c r="D78" s="7" t="s">
        <v>75</v>
      </c>
      <c r="E78" s="7" t="s">
        <v>661</v>
      </c>
      <c r="F78" s="6" t="s">
        <v>344</v>
      </c>
      <c r="G78" s="6" t="s">
        <v>670</v>
      </c>
      <c r="H78" s="6" t="s">
        <v>656</v>
      </c>
      <c r="I78" s="7" t="s">
        <v>40</v>
      </c>
      <c r="J78" s="7"/>
      <c r="K78" s="6" t="s">
        <v>345</v>
      </c>
      <c r="L78" s="6" t="s">
        <v>346</v>
      </c>
      <c r="M78" s="6" t="s">
        <v>748</v>
      </c>
      <c r="N78" s="7" t="s">
        <v>58</v>
      </c>
      <c r="O78" s="11"/>
      <c r="P78" s="11"/>
      <c r="Q78" s="11"/>
      <c r="R78" s="11"/>
    </row>
    <row r="79" customFormat="false" ht="23.85" hidden="false" customHeight="false" outlineLevel="0" collapsed="false">
      <c r="A79" s="6" t="s">
        <v>325</v>
      </c>
      <c r="B79" s="6" t="s">
        <v>743</v>
      </c>
      <c r="C79" s="6" t="s">
        <v>744</v>
      </c>
      <c r="D79" s="7" t="s">
        <v>83</v>
      </c>
      <c r="E79" s="7" t="s">
        <v>661</v>
      </c>
      <c r="F79" s="6" t="s">
        <v>349</v>
      </c>
      <c r="G79" s="6" t="s">
        <v>670</v>
      </c>
      <c r="H79" s="6" t="s">
        <v>656</v>
      </c>
      <c r="I79" s="7" t="s">
        <v>40</v>
      </c>
      <c r="J79" s="7"/>
      <c r="K79" s="6" t="s">
        <v>350</v>
      </c>
      <c r="L79" s="6" t="s">
        <v>296</v>
      </c>
      <c r="M79" s="6" t="s">
        <v>749</v>
      </c>
      <c r="N79" s="7" t="s">
        <v>34</v>
      </c>
      <c r="O79" s="11"/>
      <c r="P79" s="11"/>
      <c r="Q79" s="11"/>
      <c r="R79" s="11"/>
    </row>
    <row r="80" customFormat="false" ht="23.85" hidden="false" customHeight="false" outlineLevel="0" collapsed="false">
      <c r="A80" s="6" t="s">
        <v>325</v>
      </c>
      <c r="B80" s="6" t="s">
        <v>743</v>
      </c>
      <c r="C80" s="6" t="s">
        <v>744</v>
      </c>
      <c r="D80" s="7" t="s">
        <v>84</v>
      </c>
      <c r="E80" s="7" t="s">
        <v>661</v>
      </c>
      <c r="F80" s="6" t="s">
        <v>324</v>
      </c>
      <c r="G80" s="6" t="s">
        <v>670</v>
      </c>
      <c r="H80" s="6" t="s">
        <v>677</v>
      </c>
      <c r="I80" s="7" t="s">
        <v>247</v>
      </c>
      <c r="J80" s="7"/>
      <c r="K80" s="6" t="s">
        <v>326</v>
      </c>
      <c r="L80" s="6" t="s">
        <v>245</v>
      </c>
      <c r="M80" s="6" t="s">
        <v>750</v>
      </c>
      <c r="N80" s="7" t="s">
        <v>65</v>
      </c>
      <c r="O80" s="11"/>
      <c r="P80" s="11"/>
      <c r="Q80" s="11"/>
      <c r="R80" s="11"/>
    </row>
    <row r="81" customFormat="false" ht="35.05" hidden="false" customHeight="false" outlineLevel="0" collapsed="false">
      <c r="A81" s="6" t="s">
        <v>325</v>
      </c>
      <c r="B81" s="6" t="s">
        <v>743</v>
      </c>
      <c r="C81" s="6" t="s">
        <v>744</v>
      </c>
      <c r="D81" s="7" t="s">
        <v>58</v>
      </c>
      <c r="E81" s="7" t="s">
        <v>661</v>
      </c>
      <c r="F81" s="6" t="s">
        <v>328</v>
      </c>
      <c r="G81" s="6" t="s">
        <v>670</v>
      </c>
      <c r="H81" s="6" t="s">
        <v>677</v>
      </c>
      <c r="I81" s="7" t="s">
        <v>40</v>
      </c>
      <c r="J81" s="7"/>
      <c r="K81" s="6" t="s">
        <v>329</v>
      </c>
      <c r="L81" s="6" t="s">
        <v>330</v>
      </c>
      <c r="M81" s="6" t="s">
        <v>751</v>
      </c>
      <c r="N81" s="7" t="s">
        <v>75</v>
      </c>
      <c r="O81" s="11"/>
      <c r="P81" s="11"/>
      <c r="Q81" s="11"/>
      <c r="R81" s="11"/>
    </row>
    <row r="82" customFormat="false" ht="15" hidden="false" customHeight="false" outlineLevel="0" collapsed="false">
      <c r="A82" s="6" t="s">
        <v>325</v>
      </c>
      <c r="B82" s="6" t="s">
        <v>743</v>
      </c>
      <c r="C82" s="6" t="s">
        <v>744</v>
      </c>
      <c r="D82" s="7" t="s">
        <v>34</v>
      </c>
      <c r="E82" s="7" t="s">
        <v>661</v>
      </c>
      <c r="F82" s="6" t="s">
        <v>333</v>
      </c>
      <c r="G82" s="6" t="s">
        <v>670</v>
      </c>
      <c r="H82" s="6" t="s">
        <v>677</v>
      </c>
      <c r="I82" s="7" t="s">
        <v>247</v>
      </c>
      <c r="J82" s="7"/>
      <c r="K82" s="6" t="s">
        <v>334</v>
      </c>
      <c r="L82" s="6" t="s">
        <v>335</v>
      </c>
      <c r="M82" s="6" t="s">
        <v>752</v>
      </c>
      <c r="N82" s="7" t="s">
        <v>83</v>
      </c>
      <c r="O82" s="11"/>
      <c r="P82" s="11"/>
      <c r="Q82" s="11"/>
      <c r="R82" s="11"/>
    </row>
    <row r="83" customFormat="false" ht="15" hidden="false" customHeight="false" outlineLevel="0" collapsed="false">
      <c r="A83" s="6" t="s">
        <v>357</v>
      </c>
      <c r="B83" s="6" t="s">
        <v>753</v>
      </c>
      <c r="C83" s="6" t="s">
        <v>754</v>
      </c>
      <c r="D83" s="7" t="s">
        <v>64</v>
      </c>
      <c r="E83" s="7" t="s">
        <v>661</v>
      </c>
      <c r="F83" s="6" t="s">
        <v>360</v>
      </c>
      <c r="G83" s="6" t="s">
        <v>670</v>
      </c>
      <c r="H83" s="6" t="s">
        <v>648</v>
      </c>
      <c r="I83" s="7" t="s">
        <v>40</v>
      </c>
      <c r="J83" s="7"/>
      <c r="K83" s="6" t="s">
        <v>361</v>
      </c>
      <c r="L83" s="6" t="s">
        <v>229</v>
      </c>
      <c r="M83" s="6" t="s">
        <v>755</v>
      </c>
      <c r="N83" s="7" t="s">
        <v>74</v>
      </c>
      <c r="O83" s="11"/>
      <c r="P83" s="11"/>
      <c r="Q83" s="11"/>
      <c r="R83" s="11"/>
    </row>
    <row r="84" customFormat="false" ht="23.85" hidden="false" customHeight="false" outlineLevel="0" collapsed="false">
      <c r="A84" s="6" t="s">
        <v>357</v>
      </c>
      <c r="B84" s="6" t="s">
        <v>753</v>
      </c>
      <c r="C84" s="6" t="s">
        <v>754</v>
      </c>
      <c r="D84" s="7" t="s">
        <v>65</v>
      </c>
      <c r="E84" s="7" t="s">
        <v>661</v>
      </c>
      <c r="F84" s="6" t="s">
        <v>370</v>
      </c>
      <c r="G84" s="6" t="s">
        <v>670</v>
      </c>
      <c r="H84" s="6" t="s">
        <v>648</v>
      </c>
      <c r="I84" s="6" t="s">
        <v>164</v>
      </c>
      <c r="J84" s="7"/>
      <c r="K84" s="6" t="s">
        <v>371</v>
      </c>
      <c r="L84" s="6" t="s">
        <v>162</v>
      </c>
      <c r="M84" s="6" t="s">
        <v>756</v>
      </c>
      <c r="N84" s="7" t="s">
        <v>84</v>
      </c>
      <c r="O84" s="11"/>
      <c r="P84" s="11"/>
      <c r="Q84" s="11"/>
      <c r="R84" s="11"/>
    </row>
    <row r="85" customFormat="false" ht="23.85" hidden="false" customHeight="false" outlineLevel="0" collapsed="false">
      <c r="A85" s="6" t="s">
        <v>357</v>
      </c>
      <c r="B85" s="6" t="s">
        <v>753</v>
      </c>
      <c r="C85" s="6" t="s">
        <v>754</v>
      </c>
      <c r="D85" s="7" t="s">
        <v>74</v>
      </c>
      <c r="E85" s="7" t="s">
        <v>661</v>
      </c>
      <c r="F85" s="6" t="s">
        <v>363</v>
      </c>
      <c r="G85" s="6" t="s">
        <v>670</v>
      </c>
      <c r="H85" s="6" t="s">
        <v>648</v>
      </c>
      <c r="I85" s="7" t="s">
        <v>40</v>
      </c>
      <c r="J85" s="7"/>
      <c r="K85" s="6" t="s">
        <v>364</v>
      </c>
      <c r="L85" s="6" t="s">
        <v>365</v>
      </c>
      <c r="M85" s="6" t="s">
        <v>757</v>
      </c>
      <c r="N85" s="7" t="s">
        <v>64</v>
      </c>
      <c r="O85" s="11"/>
      <c r="P85" s="11"/>
      <c r="Q85" s="11"/>
      <c r="R85" s="11"/>
    </row>
    <row r="86" customFormat="false" ht="15" hidden="false" customHeight="false" outlineLevel="0" collapsed="false">
      <c r="A86" s="6" t="s">
        <v>357</v>
      </c>
      <c r="B86" s="6" t="s">
        <v>753</v>
      </c>
      <c r="C86" s="6" t="s">
        <v>754</v>
      </c>
      <c r="D86" s="7" t="s">
        <v>75</v>
      </c>
      <c r="E86" s="7" t="s">
        <v>661</v>
      </c>
      <c r="F86" s="6" t="s">
        <v>367</v>
      </c>
      <c r="G86" s="6" t="s">
        <v>670</v>
      </c>
      <c r="H86" s="6" t="s">
        <v>648</v>
      </c>
      <c r="I86" s="6" t="s">
        <v>164</v>
      </c>
      <c r="J86" s="7"/>
      <c r="K86" s="6" t="s">
        <v>368</v>
      </c>
      <c r="L86" s="6" t="s">
        <v>162</v>
      </c>
      <c r="M86" s="6" t="s">
        <v>758</v>
      </c>
      <c r="N86" s="7" t="s">
        <v>58</v>
      </c>
      <c r="O86" s="11"/>
      <c r="P86" s="11"/>
      <c r="Q86" s="11"/>
      <c r="R86" s="11"/>
    </row>
    <row r="87" customFormat="false" ht="23.85" hidden="false" customHeight="false" outlineLevel="0" collapsed="false">
      <c r="A87" s="6" t="s">
        <v>357</v>
      </c>
      <c r="B87" s="6" t="s">
        <v>753</v>
      </c>
      <c r="C87" s="6" t="s">
        <v>754</v>
      </c>
      <c r="D87" s="7" t="s">
        <v>83</v>
      </c>
      <c r="E87" s="7" t="s">
        <v>661</v>
      </c>
      <c r="F87" s="6" t="s">
        <v>356</v>
      </c>
      <c r="G87" s="6" t="s">
        <v>695</v>
      </c>
      <c r="H87" s="6" t="s">
        <v>656</v>
      </c>
      <c r="I87" s="6" t="s">
        <v>164</v>
      </c>
      <c r="J87" s="7"/>
      <c r="K87" s="6" t="s">
        <v>358</v>
      </c>
      <c r="L87" s="6" t="s">
        <v>162</v>
      </c>
      <c r="M87" s="6" t="s">
        <v>759</v>
      </c>
      <c r="N87" s="7" t="s">
        <v>34</v>
      </c>
      <c r="O87" s="11"/>
      <c r="P87" s="11"/>
      <c r="Q87" s="11"/>
      <c r="R87" s="11"/>
    </row>
    <row r="88" customFormat="false" ht="23.85" hidden="false" customHeight="false" outlineLevel="0" collapsed="false">
      <c r="A88" s="6" t="s">
        <v>357</v>
      </c>
      <c r="B88" s="6" t="s">
        <v>753</v>
      </c>
      <c r="C88" s="6" t="s">
        <v>754</v>
      </c>
      <c r="D88" s="7" t="s">
        <v>84</v>
      </c>
      <c r="E88" s="7" t="s">
        <v>661</v>
      </c>
      <c r="F88" s="6" t="s">
        <v>373</v>
      </c>
      <c r="G88" s="6" t="s">
        <v>695</v>
      </c>
      <c r="H88" s="6" t="s">
        <v>656</v>
      </c>
      <c r="I88" s="7" t="s">
        <v>40</v>
      </c>
      <c r="J88" s="7"/>
      <c r="K88" s="6" t="s">
        <v>374</v>
      </c>
      <c r="L88" s="6" t="s">
        <v>375</v>
      </c>
      <c r="M88" s="6" t="s">
        <v>760</v>
      </c>
      <c r="N88" s="7" t="s">
        <v>65</v>
      </c>
      <c r="O88" s="11"/>
      <c r="P88" s="11"/>
      <c r="Q88" s="11"/>
      <c r="R88" s="11"/>
    </row>
    <row r="89" customFormat="false" ht="15" hidden="false" customHeight="false" outlineLevel="0" collapsed="false">
      <c r="A89" s="6" t="s">
        <v>357</v>
      </c>
      <c r="B89" s="6" t="s">
        <v>753</v>
      </c>
      <c r="C89" s="6" t="s">
        <v>754</v>
      </c>
      <c r="D89" s="7" t="s">
        <v>58</v>
      </c>
      <c r="E89" s="7" t="s">
        <v>661</v>
      </c>
      <c r="F89" s="6" t="s">
        <v>377</v>
      </c>
      <c r="G89" s="6" t="s">
        <v>695</v>
      </c>
      <c r="H89" s="6" t="s">
        <v>656</v>
      </c>
      <c r="I89" s="6" t="s">
        <v>164</v>
      </c>
      <c r="J89" s="7"/>
      <c r="K89" s="6" t="s">
        <v>378</v>
      </c>
      <c r="L89" s="6" t="s">
        <v>162</v>
      </c>
      <c r="M89" s="6" t="s">
        <v>761</v>
      </c>
      <c r="N89" s="7" t="s">
        <v>75</v>
      </c>
      <c r="O89" s="11"/>
      <c r="P89" s="11"/>
      <c r="Q89" s="11"/>
      <c r="R89" s="11"/>
    </row>
    <row r="90" customFormat="false" ht="23.85" hidden="false" customHeight="false" outlineLevel="0" collapsed="false">
      <c r="A90" s="6" t="s">
        <v>357</v>
      </c>
      <c r="B90" s="6" t="s">
        <v>753</v>
      </c>
      <c r="C90" s="6" t="s">
        <v>754</v>
      </c>
      <c r="D90" s="7" t="s">
        <v>34</v>
      </c>
      <c r="E90" s="7" t="s">
        <v>661</v>
      </c>
      <c r="F90" s="6" t="s">
        <v>380</v>
      </c>
      <c r="G90" s="6" t="s">
        <v>695</v>
      </c>
      <c r="H90" s="6" t="s">
        <v>656</v>
      </c>
      <c r="I90" s="7" t="s">
        <v>40</v>
      </c>
      <c r="J90" s="7"/>
      <c r="K90" s="6" t="s">
        <v>381</v>
      </c>
      <c r="L90" s="6" t="s">
        <v>382</v>
      </c>
      <c r="M90" s="6" t="s">
        <v>762</v>
      </c>
      <c r="N90" s="7" t="s">
        <v>83</v>
      </c>
      <c r="O90" s="11"/>
      <c r="P90" s="11"/>
      <c r="Q90" s="11"/>
      <c r="R90" s="11"/>
    </row>
    <row r="91" customFormat="false" ht="15" hidden="false" customHeight="false" outlineLevel="0" collapsed="false">
      <c r="A91" s="6" t="s">
        <v>386</v>
      </c>
      <c r="B91" s="6" t="s">
        <v>763</v>
      </c>
      <c r="C91" s="6" t="s">
        <v>764</v>
      </c>
      <c r="D91" s="7" t="s">
        <v>64</v>
      </c>
      <c r="E91" s="7" t="s">
        <v>661</v>
      </c>
      <c r="F91" s="6" t="s">
        <v>385</v>
      </c>
      <c r="G91" s="6" t="s">
        <v>695</v>
      </c>
      <c r="H91" s="6" t="s">
        <v>656</v>
      </c>
      <c r="I91" s="6" t="s">
        <v>164</v>
      </c>
      <c r="J91" s="7"/>
      <c r="K91" s="6" t="s">
        <v>387</v>
      </c>
      <c r="L91" s="6" t="s">
        <v>210</v>
      </c>
      <c r="M91" s="6" t="s">
        <v>765</v>
      </c>
      <c r="N91" s="7" t="s">
        <v>74</v>
      </c>
      <c r="O91" s="11"/>
      <c r="P91" s="11"/>
      <c r="Q91" s="11"/>
      <c r="R91" s="11"/>
    </row>
    <row r="92" customFormat="false" ht="23.85" hidden="false" customHeight="false" outlineLevel="0" collapsed="false">
      <c r="A92" s="6" t="s">
        <v>386</v>
      </c>
      <c r="B92" s="6" t="s">
        <v>763</v>
      </c>
      <c r="C92" s="6" t="s">
        <v>764</v>
      </c>
      <c r="D92" s="7" t="s">
        <v>65</v>
      </c>
      <c r="E92" s="7" t="s">
        <v>661</v>
      </c>
      <c r="F92" s="6" t="s">
        <v>407</v>
      </c>
      <c r="G92" s="6" t="s">
        <v>695</v>
      </c>
      <c r="H92" s="6" t="s">
        <v>656</v>
      </c>
      <c r="I92" s="7" t="s">
        <v>40</v>
      </c>
      <c r="J92" s="7"/>
      <c r="K92" s="6" t="s">
        <v>408</v>
      </c>
      <c r="L92" s="6" t="s">
        <v>409</v>
      </c>
      <c r="M92" s="6" t="s">
        <v>766</v>
      </c>
      <c r="N92" s="7" t="s">
        <v>84</v>
      </c>
      <c r="O92" s="11"/>
      <c r="P92" s="11"/>
      <c r="Q92" s="11"/>
      <c r="R92" s="11"/>
    </row>
    <row r="93" customFormat="false" ht="23.85" hidden="false" customHeight="false" outlineLevel="0" collapsed="false">
      <c r="A93" s="6" t="s">
        <v>386</v>
      </c>
      <c r="B93" s="6" t="s">
        <v>763</v>
      </c>
      <c r="C93" s="6" t="s">
        <v>764</v>
      </c>
      <c r="D93" s="7" t="s">
        <v>74</v>
      </c>
      <c r="E93" s="7" t="s">
        <v>661</v>
      </c>
      <c r="F93" s="6" t="s">
        <v>412</v>
      </c>
      <c r="G93" s="6" t="s">
        <v>695</v>
      </c>
      <c r="H93" s="6" t="s">
        <v>656</v>
      </c>
      <c r="I93" s="7" t="s">
        <v>40</v>
      </c>
      <c r="J93" s="7"/>
      <c r="K93" s="6" t="s">
        <v>413</v>
      </c>
      <c r="L93" s="6" t="s">
        <v>237</v>
      </c>
      <c r="M93" s="6" t="s">
        <v>767</v>
      </c>
      <c r="N93" s="7" t="s">
        <v>64</v>
      </c>
      <c r="O93" s="11"/>
      <c r="P93" s="11"/>
      <c r="Q93" s="11"/>
      <c r="R93" s="11"/>
    </row>
    <row r="94" customFormat="false" ht="23.85" hidden="false" customHeight="false" outlineLevel="0" collapsed="false">
      <c r="A94" s="6" t="s">
        <v>386</v>
      </c>
      <c r="B94" s="6" t="s">
        <v>763</v>
      </c>
      <c r="C94" s="6" t="s">
        <v>764</v>
      </c>
      <c r="D94" s="7" t="s">
        <v>75</v>
      </c>
      <c r="E94" s="7" t="s">
        <v>661</v>
      </c>
      <c r="F94" s="6" t="s">
        <v>389</v>
      </c>
      <c r="G94" s="6" t="s">
        <v>695</v>
      </c>
      <c r="H94" s="6" t="s">
        <v>648</v>
      </c>
      <c r="I94" s="6" t="s">
        <v>164</v>
      </c>
      <c r="J94" s="7"/>
      <c r="K94" s="6" t="s">
        <v>390</v>
      </c>
      <c r="L94" s="6" t="s">
        <v>210</v>
      </c>
      <c r="M94" s="6" t="s">
        <v>768</v>
      </c>
      <c r="N94" s="7" t="s">
        <v>58</v>
      </c>
      <c r="O94" s="11"/>
      <c r="P94" s="11"/>
      <c r="Q94" s="11"/>
      <c r="R94" s="11"/>
    </row>
    <row r="95" customFormat="false" ht="35.05" hidden="false" customHeight="false" outlineLevel="0" collapsed="false">
      <c r="A95" s="6" t="s">
        <v>386</v>
      </c>
      <c r="B95" s="6" t="s">
        <v>763</v>
      </c>
      <c r="C95" s="6" t="s">
        <v>764</v>
      </c>
      <c r="D95" s="7" t="s">
        <v>83</v>
      </c>
      <c r="E95" s="7" t="s">
        <v>661</v>
      </c>
      <c r="F95" s="6" t="s">
        <v>392</v>
      </c>
      <c r="G95" s="6" t="s">
        <v>695</v>
      </c>
      <c r="H95" s="6" t="s">
        <v>648</v>
      </c>
      <c r="I95" s="6" t="s">
        <v>164</v>
      </c>
      <c r="J95" s="7"/>
      <c r="K95" s="6" t="s">
        <v>393</v>
      </c>
      <c r="L95" s="6" t="s">
        <v>162</v>
      </c>
      <c r="M95" s="6" t="s">
        <v>769</v>
      </c>
      <c r="N95" s="7" t="s">
        <v>34</v>
      </c>
      <c r="O95" s="11"/>
      <c r="P95" s="11"/>
      <c r="Q95" s="11"/>
      <c r="R95" s="11"/>
    </row>
    <row r="96" customFormat="false" ht="15" hidden="false" customHeight="false" outlineLevel="0" collapsed="false">
      <c r="A96" s="6" t="s">
        <v>386</v>
      </c>
      <c r="B96" s="6" t="s">
        <v>763</v>
      </c>
      <c r="C96" s="6" t="s">
        <v>764</v>
      </c>
      <c r="D96" s="7" t="s">
        <v>84</v>
      </c>
      <c r="E96" s="7" t="s">
        <v>661</v>
      </c>
      <c r="F96" s="6" t="s">
        <v>395</v>
      </c>
      <c r="G96" s="6" t="s">
        <v>695</v>
      </c>
      <c r="H96" s="6" t="s">
        <v>648</v>
      </c>
      <c r="I96" s="7" t="s">
        <v>40</v>
      </c>
      <c r="J96" s="7"/>
      <c r="K96" s="6" t="s">
        <v>396</v>
      </c>
      <c r="L96" s="6" t="s">
        <v>397</v>
      </c>
      <c r="M96" s="6" t="s">
        <v>770</v>
      </c>
      <c r="N96" s="7" t="s">
        <v>65</v>
      </c>
      <c r="O96" s="11"/>
      <c r="P96" s="11"/>
      <c r="Q96" s="11"/>
      <c r="R96" s="11"/>
    </row>
    <row r="97" customFormat="false" ht="23.85" hidden="false" customHeight="false" outlineLevel="0" collapsed="false">
      <c r="A97" s="6" t="s">
        <v>386</v>
      </c>
      <c r="B97" s="6" t="s">
        <v>763</v>
      </c>
      <c r="C97" s="6" t="s">
        <v>764</v>
      </c>
      <c r="D97" s="7" t="s">
        <v>58</v>
      </c>
      <c r="E97" s="7" t="s">
        <v>661</v>
      </c>
      <c r="F97" s="6" t="s">
        <v>399</v>
      </c>
      <c r="G97" s="6" t="s">
        <v>695</v>
      </c>
      <c r="H97" s="6" t="s">
        <v>648</v>
      </c>
      <c r="I97" s="7" t="s">
        <v>40</v>
      </c>
      <c r="J97" s="7"/>
      <c r="K97" s="6" t="s">
        <v>400</v>
      </c>
      <c r="L97" s="6" t="s">
        <v>401</v>
      </c>
      <c r="M97" s="6" t="s">
        <v>771</v>
      </c>
      <c r="N97" s="7" t="s">
        <v>75</v>
      </c>
      <c r="O97" s="11"/>
      <c r="P97" s="11"/>
      <c r="Q97" s="11"/>
      <c r="R97" s="11"/>
    </row>
    <row r="98" customFormat="false" ht="23.85" hidden="false" customHeight="false" outlineLevel="0" collapsed="false">
      <c r="A98" s="6" t="s">
        <v>386</v>
      </c>
      <c r="B98" s="6" t="s">
        <v>763</v>
      </c>
      <c r="C98" s="6" t="s">
        <v>764</v>
      </c>
      <c r="D98" s="7" t="s">
        <v>34</v>
      </c>
      <c r="E98" s="7" t="s">
        <v>661</v>
      </c>
      <c r="F98" s="6" t="s">
        <v>403</v>
      </c>
      <c r="G98" s="6" t="s">
        <v>695</v>
      </c>
      <c r="H98" s="6" t="s">
        <v>648</v>
      </c>
      <c r="I98" s="6" t="s">
        <v>164</v>
      </c>
      <c r="J98" s="7"/>
      <c r="K98" s="6" t="s">
        <v>404</v>
      </c>
      <c r="L98" s="6" t="s">
        <v>219</v>
      </c>
      <c r="M98" s="6" t="s">
        <v>772</v>
      </c>
      <c r="N98" s="7" t="s">
        <v>83</v>
      </c>
      <c r="O98" s="11"/>
      <c r="P98" s="11"/>
      <c r="Q98" s="11"/>
      <c r="R98" s="11"/>
    </row>
    <row r="99" customFormat="false" ht="23.85" hidden="false" customHeight="false" outlineLevel="0" collapsed="false">
      <c r="A99" s="6" t="s">
        <v>416</v>
      </c>
      <c r="B99" s="6" t="s">
        <v>773</v>
      </c>
      <c r="C99" s="6" t="s">
        <v>774</v>
      </c>
      <c r="D99" s="7" t="s">
        <v>64</v>
      </c>
      <c r="E99" s="7" t="s">
        <v>661</v>
      </c>
      <c r="F99" s="6" t="s">
        <v>437</v>
      </c>
      <c r="G99" s="6" t="s">
        <v>695</v>
      </c>
      <c r="H99" s="6" t="s">
        <v>648</v>
      </c>
      <c r="I99" s="7" t="s">
        <v>441</v>
      </c>
      <c r="J99" s="7"/>
      <c r="K99" s="6" t="s">
        <v>438</v>
      </c>
      <c r="L99" s="6" t="s">
        <v>439</v>
      </c>
      <c r="M99" s="6" t="s">
        <v>775</v>
      </c>
      <c r="N99" s="7" t="s">
        <v>65</v>
      </c>
      <c r="O99" s="11"/>
      <c r="P99" s="11"/>
      <c r="Q99" s="11"/>
      <c r="R99" s="11"/>
    </row>
    <row r="100" customFormat="false" ht="23.85" hidden="false" customHeight="false" outlineLevel="0" collapsed="false">
      <c r="A100" s="6" t="s">
        <v>416</v>
      </c>
      <c r="B100" s="6" t="s">
        <v>773</v>
      </c>
      <c r="C100" s="6" t="s">
        <v>774</v>
      </c>
      <c r="D100" s="7" t="s">
        <v>65</v>
      </c>
      <c r="E100" s="7" t="s">
        <v>661</v>
      </c>
      <c r="F100" s="6" t="s">
        <v>442</v>
      </c>
      <c r="G100" s="6" t="s">
        <v>695</v>
      </c>
      <c r="H100" s="6" t="s">
        <v>648</v>
      </c>
      <c r="I100" s="6" t="s">
        <v>164</v>
      </c>
      <c r="J100" s="7"/>
      <c r="K100" s="6" t="s">
        <v>443</v>
      </c>
      <c r="L100" s="6" t="s">
        <v>250</v>
      </c>
      <c r="M100" s="6" t="s">
        <v>776</v>
      </c>
      <c r="N100" s="7" t="s">
        <v>64</v>
      </c>
      <c r="O100" s="11"/>
      <c r="P100" s="11"/>
      <c r="Q100" s="11"/>
      <c r="R100" s="11"/>
    </row>
    <row r="101" customFormat="false" ht="23.85" hidden="false" customHeight="false" outlineLevel="0" collapsed="false">
      <c r="A101" s="6" t="s">
        <v>416</v>
      </c>
      <c r="B101" s="6" t="s">
        <v>773</v>
      </c>
      <c r="C101" s="6" t="s">
        <v>774</v>
      </c>
      <c r="D101" s="7" t="s">
        <v>74</v>
      </c>
      <c r="E101" s="7" t="s">
        <v>661</v>
      </c>
      <c r="F101" s="6" t="s">
        <v>430</v>
      </c>
      <c r="G101" s="6" t="s">
        <v>647</v>
      </c>
      <c r="H101" s="6" t="s">
        <v>656</v>
      </c>
      <c r="I101" s="6" t="s">
        <v>164</v>
      </c>
      <c r="J101" s="7"/>
      <c r="K101" s="6" t="s">
        <v>431</v>
      </c>
      <c r="L101" s="6" t="s">
        <v>296</v>
      </c>
      <c r="M101" s="6" t="s">
        <v>777</v>
      </c>
      <c r="N101" s="7" t="s">
        <v>75</v>
      </c>
      <c r="O101" s="11"/>
      <c r="P101" s="11"/>
      <c r="Q101" s="11"/>
      <c r="R101" s="11"/>
    </row>
    <row r="102" customFormat="false" ht="23.85" hidden="false" customHeight="false" outlineLevel="0" collapsed="false">
      <c r="A102" s="6" t="s">
        <v>416</v>
      </c>
      <c r="B102" s="6" t="s">
        <v>773</v>
      </c>
      <c r="C102" s="6" t="s">
        <v>774</v>
      </c>
      <c r="D102" s="7" t="s">
        <v>75</v>
      </c>
      <c r="E102" s="7" t="s">
        <v>661</v>
      </c>
      <c r="F102" s="6" t="s">
        <v>433</v>
      </c>
      <c r="G102" s="6" t="s">
        <v>647</v>
      </c>
      <c r="H102" s="6" t="s">
        <v>656</v>
      </c>
      <c r="I102" s="6" t="s">
        <v>164</v>
      </c>
      <c r="J102" s="7"/>
      <c r="K102" s="6" t="s">
        <v>434</v>
      </c>
      <c r="L102" s="6" t="s">
        <v>250</v>
      </c>
      <c r="M102" s="6" t="s">
        <v>778</v>
      </c>
      <c r="N102" s="7" t="s">
        <v>74</v>
      </c>
      <c r="O102" s="11"/>
      <c r="P102" s="11"/>
      <c r="Q102" s="11"/>
      <c r="R102" s="11"/>
    </row>
    <row r="103" customFormat="false" ht="15" hidden="false" customHeight="false" outlineLevel="0" collapsed="false">
      <c r="A103" s="6" t="s">
        <v>416</v>
      </c>
      <c r="B103" s="6" t="s">
        <v>773</v>
      </c>
      <c r="C103" s="6" t="s">
        <v>774</v>
      </c>
      <c r="D103" s="7" t="s">
        <v>83</v>
      </c>
      <c r="E103" s="7" t="s">
        <v>661</v>
      </c>
      <c r="F103" s="6" t="s">
        <v>415</v>
      </c>
      <c r="G103" s="6" t="s">
        <v>647</v>
      </c>
      <c r="H103" s="6" t="s">
        <v>656</v>
      </c>
      <c r="I103" s="6" t="s">
        <v>164</v>
      </c>
      <c r="J103" s="7"/>
      <c r="K103" s="6" t="s">
        <v>417</v>
      </c>
      <c r="L103" s="6" t="s">
        <v>162</v>
      </c>
      <c r="M103" s="6" t="s">
        <v>779</v>
      </c>
      <c r="N103" s="7" t="s">
        <v>84</v>
      </c>
      <c r="O103" s="11"/>
      <c r="P103" s="11"/>
      <c r="Q103" s="11"/>
      <c r="R103" s="11"/>
    </row>
    <row r="104" customFormat="false" ht="23.85" hidden="false" customHeight="false" outlineLevel="0" collapsed="false">
      <c r="A104" s="6" t="s">
        <v>416</v>
      </c>
      <c r="B104" s="6" t="s">
        <v>773</v>
      </c>
      <c r="C104" s="6" t="s">
        <v>774</v>
      </c>
      <c r="D104" s="7" t="s">
        <v>84</v>
      </c>
      <c r="E104" s="7" t="s">
        <v>661</v>
      </c>
      <c r="F104" s="6" t="s">
        <v>419</v>
      </c>
      <c r="G104" s="6" t="s">
        <v>647</v>
      </c>
      <c r="H104" s="6" t="s">
        <v>656</v>
      </c>
      <c r="I104" s="6" t="s">
        <v>164</v>
      </c>
      <c r="J104" s="7"/>
      <c r="K104" s="6" t="s">
        <v>420</v>
      </c>
      <c r="L104" s="6" t="s">
        <v>250</v>
      </c>
      <c r="M104" s="6" t="s">
        <v>780</v>
      </c>
      <c r="N104" s="7" t="s">
        <v>83</v>
      </c>
      <c r="O104" s="11"/>
      <c r="P104" s="11"/>
      <c r="Q104" s="11"/>
      <c r="R104" s="11"/>
    </row>
    <row r="105" customFormat="false" ht="35.05" hidden="false" customHeight="false" outlineLevel="0" collapsed="false">
      <c r="A105" s="6" t="s">
        <v>416</v>
      </c>
      <c r="B105" s="6" t="s">
        <v>773</v>
      </c>
      <c r="C105" s="6" t="s">
        <v>774</v>
      </c>
      <c r="D105" s="7" t="s">
        <v>58</v>
      </c>
      <c r="E105" s="7" t="s">
        <v>661</v>
      </c>
      <c r="F105" s="6" t="s">
        <v>422</v>
      </c>
      <c r="G105" s="6" t="s">
        <v>647</v>
      </c>
      <c r="H105" s="6" t="s">
        <v>656</v>
      </c>
      <c r="I105" s="6" t="s">
        <v>164</v>
      </c>
      <c r="J105" s="7"/>
      <c r="K105" s="6" t="s">
        <v>423</v>
      </c>
      <c r="L105" s="6" t="s">
        <v>424</v>
      </c>
      <c r="M105" s="6" t="s">
        <v>781</v>
      </c>
      <c r="N105" s="7" t="s">
        <v>34</v>
      </c>
      <c r="O105" s="11"/>
      <c r="P105" s="11"/>
      <c r="Q105" s="11"/>
      <c r="R105" s="11"/>
    </row>
    <row r="106" customFormat="false" ht="35.05" hidden="false" customHeight="false" outlineLevel="0" collapsed="false">
      <c r="A106" s="6" t="s">
        <v>416</v>
      </c>
      <c r="B106" s="6" t="s">
        <v>773</v>
      </c>
      <c r="C106" s="6" t="s">
        <v>774</v>
      </c>
      <c r="D106" s="7" t="s">
        <v>34</v>
      </c>
      <c r="E106" s="7" t="s">
        <v>661</v>
      </c>
      <c r="F106" s="6" t="s">
        <v>426</v>
      </c>
      <c r="G106" s="6" t="s">
        <v>647</v>
      </c>
      <c r="H106" s="6" t="s">
        <v>656</v>
      </c>
      <c r="I106" s="7" t="s">
        <v>40</v>
      </c>
      <c r="J106" s="7"/>
      <c r="K106" s="6" t="s">
        <v>427</v>
      </c>
      <c r="L106" s="6" t="s">
        <v>428</v>
      </c>
      <c r="M106" s="6" t="s">
        <v>782</v>
      </c>
      <c r="N106" s="7" t="s">
        <v>58</v>
      </c>
      <c r="O106" s="11"/>
      <c r="P106" s="11"/>
      <c r="Q106" s="11"/>
      <c r="R106" s="11"/>
    </row>
    <row r="107" customFormat="false" ht="23.85" hidden="false" customHeight="false" outlineLevel="0" collapsed="false">
      <c r="A107" s="6" t="s">
        <v>446</v>
      </c>
      <c r="B107" s="6" t="s">
        <v>783</v>
      </c>
      <c r="C107" s="6" t="s">
        <v>784</v>
      </c>
      <c r="D107" s="7" t="s">
        <v>64</v>
      </c>
      <c r="E107" s="7" t="s">
        <v>661</v>
      </c>
      <c r="F107" s="6" t="s">
        <v>445</v>
      </c>
      <c r="G107" s="6" t="s">
        <v>647</v>
      </c>
      <c r="H107" s="6" t="s">
        <v>677</v>
      </c>
      <c r="I107" s="6" t="s">
        <v>164</v>
      </c>
      <c r="J107" s="7"/>
      <c r="K107" s="6" t="s">
        <v>447</v>
      </c>
      <c r="L107" s="6" t="s">
        <v>339</v>
      </c>
      <c r="M107" s="6" t="s">
        <v>785</v>
      </c>
      <c r="N107" s="7" t="s">
        <v>65</v>
      </c>
      <c r="O107" s="11"/>
      <c r="P107" s="11"/>
      <c r="Q107" s="11"/>
      <c r="R107" s="11"/>
    </row>
    <row r="108" customFormat="false" ht="26.85" hidden="false" customHeight="false" outlineLevel="0" collapsed="false">
      <c r="A108" s="6" t="s">
        <v>446</v>
      </c>
      <c r="B108" s="6" t="s">
        <v>783</v>
      </c>
      <c r="C108" s="6" t="s">
        <v>784</v>
      </c>
      <c r="D108" s="7" t="s">
        <v>65</v>
      </c>
      <c r="E108" s="7" t="s">
        <v>661</v>
      </c>
      <c r="F108" s="6" t="s">
        <v>449</v>
      </c>
      <c r="G108" s="6" t="s">
        <v>647</v>
      </c>
      <c r="H108" s="6" t="s">
        <v>677</v>
      </c>
      <c r="I108" s="7" t="s">
        <v>204</v>
      </c>
      <c r="J108" s="7"/>
      <c r="K108" s="6" t="s">
        <v>450</v>
      </c>
      <c r="L108" s="6" t="s">
        <v>237</v>
      </c>
      <c r="M108" s="6" t="s">
        <v>786</v>
      </c>
      <c r="N108" s="7" t="s">
        <v>64</v>
      </c>
      <c r="O108" s="11"/>
      <c r="P108" s="11"/>
      <c r="Q108" s="11"/>
      <c r="R108" s="11"/>
    </row>
    <row r="109" customFormat="false" ht="23.85" hidden="false" customHeight="false" outlineLevel="0" collapsed="false">
      <c r="A109" s="6" t="s">
        <v>446</v>
      </c>
      <c r="B109" s="6" t="s">
        <v>783</v>
      </c>
      <c r="C109" s="6" t="s">
        <v>784</v>
      </c>
      <c r="D109" s="7" t="s">
        <v>74</v>
      </c>
      <c r="E109" s="7" t="s">
        <v>661</v>
      </c>
      <c r="F109" s="6" t="s">
        <v>471</v>
      </c>
      <c r="G109" s="6" t="s">
        <v>647</v>
      </c>
      <c r="H109" s="6" t="s">
        <v>677</v>
      </c>
      <c r="I109" s="6" t="s">
        <v>164</v>
      </c>
      <c r="J109" s="7"/>
      <c r="K109" s="6" t="s">
        <v>472</v>
      </c>
      <c r="L109" s="6" t="s">
        <v>162</v>
      </c>
      <c r="M109" s="6" t="s">
        <v>787</v>
      </c>
      <c r="N109" s="7" t="s">
        <v>75</v>
      </c>
      <c r="O109" s="11"/>
      <c r="P109" s="11"/>
      <c r="Q109" s="11"/>
      <c r="R109" s="11"/>
    </row>
    <row r="110" customFormat="false" ht="46.25" hidden="false" customHeight="false" outlineLevel="0" collapsed="false">
      <c r="A110" s="6" t="s">
        <v>446</v>
      </c>
      <c r="B110" s="6" t="s">
        <v>783</v>
      </c>
      <c r="C110" s="6" t="s">
        <v>784</v>
      </c>
      <c r="D110" s="7" t="s">
        <v>75</v>
      </c>
      <c r="E110" s="7" t="s">
        <v>661</v>
      </c>
      <c r="F110" s="6" t="s">
        <v>453</v>
      </c>
      <c r="G110" s="6" t="s">
        <v>647</v>
      </c>
      <c r="H110" s="6" t="s">
        <v>677</v>
      </c>
      <c r="I110" s="7" t="s">
        <v>40</v>
      </c>
      <c r="J110" s="7"/>
      <c r="K110" s="6" t="s">
        <v>454</v>
      </c>
      <c r="L110" s="6" t="s">
        <v>455</v>
      </c>
      <c r="M110" s="6" t="s">
        <v>788</v>
      </c>
      <c r="N110" s="7" t="s">
        <v>74</v>
      </c>
      <c r="O110" s="11"/>
      <c r="P110" s="11"/>
      <c r="Q110" s="11"/>
      <c r="R110" s="11"/>
    </row>
    <row r="111" customFormat="false" ht="23.85" hidden="false" customHeight="false" outlineLevel="0" collapsed="false">
      <c r="A111" s="6" t="s">
        <v>446</v>
      </c>
      <c r="B111" s="6" t="s">
        <v>783</v>
      </c>
      <c r="C111" s="6" t="s">
        <v>784</v>
      </c>
      <c r="D111" s="7" t="s">
        <v>83</v>
      </c>
      <c r="E111" s="7" t="s">
        <v>661</v>
      </c>
      <c r="F111" s="6" t="s">
        <v>458</v>
      </c>
      <c r="G111" s="6" t="s">
        <v>647</v>
      </c>
      <c r="H111" s="6" t="s">
        <v>648</v>
      </c>
      <c r="I111" s="6" t="s">
        <v>164</v>
      </c>
      <c r="J111" s="7"/>
      <c r="K111" s="6" t="s">
        <v>459</v>
      </c>
      <c r="L111" s="6" t="s">
        <v>250</v>
      </c>
      <c r="M111" s="6" t="s">
        <v>789</v>
      </c>
      <c r="N111" s="7" t="s">
        <v>84</v>
      </c>
      <c r="O111" s="11"/>
      <c r="P111" s="11"/>
      <c r="Q111" s="11"/>
      <c r="R111" s="11"/>
    </row>
    <row r="112" customFormat="false" ht="23.85" hidden="false" customHeight="false" outlineLevel="0" collapsed="false">
      <c r="A112" s="6" t="s">
        <v>446</v>
      </c>
      <c r="B112" s="6" t="s">
        <v>783</v>
      </c>
      <c r="C112" s="6" t="s">
        <v>784</v>
      </c>
      <c r="D112" s="7" t="s">
        <v>84</v>
      </c>
      <c r="E112" s="7" t="s">
        <v>661</v>
      </c>
      <c r="F112" s="6" t="s">
        <v>461</v>
      </c>
      <c r="G112" s="6" t="s">
        <v>647</v>
      </c>
      <c r="H112" s="6" t="s">
        <v>648</v>
      </c>
      <c r="I112" s="6" t="s">
        <v>164</v>
      </c>
      <c r="J112" s="7"/>
      <c r="K112" s="6" t="s">
        <v>462</v>
      </c>
      <c r="L112" s="6" t="s">
        <v>250</v>
      </c>
      <c r="M112" s="6" t="s">
        <v>790</v>
      </c>
      <c r="N112" s="7" t="s">
        <v>83</v>
      </c>
      <c r="O112" s="11"/>
      <c r="P112" s="11"/>
      <c r="Q112" s="11"/>
      <c r="R112" s="11"/>
    </row>
    <row r="113" customFormat="false" ht="23.85" hidden="false" customHeight="false" outlineLevel="0" collapsed="false">
      <c r="A113" s="6" t="s">
        <v>446</v>
      </c>
      <c r="B113" s="6" t="s">
        <v>783</v>
      </c>
      <c r="C113" s="6" t="s">
        <v>784</v>
      </c>
      <c r="D113" s="7" t="s">
        <v>58</v>
      </c>
      <c r="E113" s="7" t="s">
        <v>661</v>
      </c>
      <c r="F113" s="6" t="s">
        <v>464</v>
      </c>
      <c r="G113" s="6" t="s">
        <v>647</v>
      </c>
      <c r="H113" s="6" t="s">
        <v>648</v>
      </c>
      <c r="I113" s="7" t="s">
        <v>40</v>
      </c>
      <c r="J113" s="7"/>
      <c r="K113" s="6" t="s">
        <v>465</v>
      </c>
      <c r="L113" s="6" t="s">
        <v>198</v>
      </c>
      <c r="M113" s="6" t="s">
        <v>791</v>
      </c>
      <c r="N113" s="7" t="s">
        <v>34</v>
      </c>
      <c r="O113" s="11"/>
      <c r="P113" s="11"/>
      <c r="Q113" s="11"/>
      <c r="R113" s="11"/>
    </row>
    <row r="114" customFormat="false" ht="15" hidden="false" customHeight="false" outlineLevel="0" collapsed="false">
      <c r="A114" s="6" t="s">
        <v>446</v>
      </c>
      <c r="B114" s="6" t="s">
        <v>783</v>
      </c>
      <c r="C114" s="6" t="s">
        <v>784</v>
      </c>
      <c r="D114" s="7" t="s">
        <v>34</v>
      </c>
      <c r="E114" s="7" t="s">
        <v>661</v>
      </c>
      <c r="F114" s="6" t="s">
        <v>467</v>
      </c>
      <c r="G114" s="6" t="s">
        <v>647</v>
      </c>
      <c r="H114" s="6" t="s">
        <v>648</v>
      </c>
      <c r="I114" s="7" t="s">
        <v>40</v>
      </c>
      <c r="J114" s="7"/>
      <c r="K114" s="6" t="s">
        <v>468</v>
      </c>
      <c r="L114" s="6" t="s">
        <v>469</v>
      </c>
      <c r="M114" s="6" t="s">
        <v>792</v>
      </c>
      <c r="N114" s="7" t="s">
        <v>58</v>
      </c>
      <c r="O114" s="11"/>
      <c r="P114" s="11"/>
      <c r="Q114" s="11"/>
      <c r="R114" s="11"/>
    </row>
    <row r="115" customFormat="false" ht="23.85" hidden="false" customHeight="false" outlineLevel="0" collapsed="false">
      <c r="A115" s="6" t="s">
        <v>475</v>
      </c>
      <c r="B115" s="6" t="s">
        <v>793</v>
      </c>
      <c r="C115" s="6" t="s">
        <v>794</v>
      </c>
      <c r="D115" s="7" t="s">
        <v>64</v>
      </c>
      <c r="E115" s="7" t="s">
        <v>661</v>
      </c>
      <c r="F115" s="6" t="s">
        <v>481</v>
      </c>
      <c r="G115" s="6" t="s">
        <v>647</v>
      </c>
      <c r="H115" s="6" t="s">
        <v>648</v>
      </c>
      <c r="I115" s="7" t="s">
        <v>40</v>
      </c>
      <c r="J115" s="7"/>
      <c r="K115" s="6" t="s">
        <v>482</v>
      </c>
      <c r="L115" s="6" t="s">
        <v>250</v>
      </c>
      <c r="M115" s="6" t="s">
        <v>795</v>
      </c>
      <c r="N115" s="7" t="s">
        <v>65</v>
      </c>
      <c r="O115" s="11"/>
      <c r="P115" s="11"/>
      <c r="Q115" s="11"/>
      <c r="R115" s="11"/>
    </row>
    <row r="116" customFormat="false" ht="26.85" hidden="false" customHeight="false" outlineLevel="0" collapsed="false">
      <c r="A116" s="6" t="s">
        <v>475</v>
      </c>
      <c r="B116" s="6" t="s">
        <v>793</v>
      </c>
      <c r="C116" s="6" t="s">
        <v>794</v>
      </c>
      <c r="D116" s="7" t="s">
        <v>65</v>
      </c>
      <c r="E116" s="7" t="s">
        <v>661</v>
      </c>
      <c r="F116" s="6" t="s">
        <v>484</v>
      </c>
      <c r="G116" s="6" t="s">
        <v>647</v>
      </c>
      <c r="H116" s="6" t="s">
        <v>648</v>
      </c>
      <c r="I116" s="7" t="s">
        <v>204</v>
      </c>
      <c r="J116" s="7"/>
      <c r="K116" s="6" t="s">
        <v>485</v>
      </c>
      <c r="L116" s="6" t="s">
        <v>250</v>
      </c>
      <c r="M116" s="6" t="s">
        <v>796</v>
      </c>
      <c r="N116" s="7" t="s">
        <v>64</v>
      </c>
      <c r="O116" s="11"/>
      <c r="P116" s="11"/>
      <c r="Q116" s="11"/>
      <c r="R116" s="11"/>
    </row>
    <row r="117" customFormat="false" ht="23.85" hidden="false" customHeight="false" outlineLevel="0" collapsed="false">
      <c r="A117" s="6" t="s">
        <v>475</v>
      </c>
      <c r="B117" s="6" t="s">
        <v>793</v>
      </c>
      <c r="C117" s="6" t="s">
        <v>794</v>
      </c>
      <c r="D117" s="7" t="s">
        <v>74</v>
      </c>
      <c r="E117" s="7" t="s">
        <v>661</v>
      </c>
      <c r="F117" s="6" t="s">
        <v>474</v>
      </c>
      <c r="G117" s="6" t="s">
        <v>647</v>
      </c>
      <c r="H117" s="6" t="s">
        <v>648</v>
      </c>
      <c r="I117" s="7" t="s">
        <v>40</v>
      </c>
      <c r="J117" s="7"/>
      <c r="K117" s="6" t="s">
        <v>476</v>
      </c>
      <c r="L117" s="6" t="s">
        <v>219</v>
      </c>
      <c r="M117" s="6" t="s">
        <v>797</v>
      </c>
      <c r="N117" s="7" t="s">
        <v>75</v>
      </c>
      <c r="O117" s="11"/>
      <c r="P117" s="11"/>
      <c r="Q117" s="11"/>
      <c r="R117" s="11"/>
    </row>
    <row r="118" customFormat="false" ht="23.85" hidden="false" customHeight="false" outlineLevel="0" collapsed="false">
      <c r="A118" s="6" t="s">
        <v>475</v>
      </c>
      <c r="B118" s="6" t="s">
        <v>793</v>
      </c>
      <c r="C118" s="6" t="s">
        <v>794</v>
      </c>
      <c r="D118" s="7" t="s">
        <v>75</v>
      </c>
      <c r="E118" s="7" t="s">
        <v>661</v>
      </c>
      <c r="F118" s="6" t="s">
        <v>488</v>
      </c>
      <c r="G118" s="6" t="s">
        <v>647</v>
      </c>
      <c r="H118" s="6" t="s">
        <v>648</v>
      </c>
      <c r="I118" s="6" t="s">
        <v>164</v>
      </c>
      <c r="J118" s="7"/>
      <c r="K118" s="6" t="s">
        <v>489</v>
      </c>
      <c r="L118" s="6" t="s">
        <v>210</v>
      </c>
      <c r="M118" s="6" t="s">
        <v>798</v>
      </c>
      <c r="N118" s="7" t="s">
        <v>74</v>
      </c>
      <c r="O118" s="11"/>
      <c r="P118" s="11"/>
      <c r="Q118" s="11"/>
      <c r="R118" s="11"/>
    </row>
    <row r="119" customFormat="false" ht="23.85" hidden="false" customHeight="false" outlineLevel="0" collapsed="false">
      <c r="A119" s="6" t="s">
        <v>475</v>
      </c>
      <c r="B119" s="6" t="s">
        <v>793</v>
      </c>
      <c r="C119" s="6" t="s">
        <v>794</v>
      </c>
      <c r="D119" s="7" t="s">
        <v>83</v>
      </c>
      <c r="E119" s="7" t="s">
        <v>661</v>
      </c>
      <c r="F119" s="6" t="s">
        <v>491</v>
      </c>
      <c r="G119" s="6" t="s">
        <v>647</v>
      </c>
      <c r="H119" s="6" t="s">
        <v>648</v>
      </c>
      <c r="I119" s="6" t="s">
        <v>164</v>
      </c>
      <c r="J119" s="7"/>
      <c r="K119" s="6" t="s">
        <v>492</v>
      </c>
      <c r="L119" s="6" t="s">
        <v>162</v>
      </c>
      <c r="M119" s="6" t="s">
        <v>799</v>
      </c>
      <c r="N119" s="7" t="s">
        <v>84</v>
      </c>
      <c r="O119" s="11"/>
      <c r="P119" s="11"/>
      <c r="Q119" s="11"/>
      <c r="R119" s="11"/>
    </row>
    <row r="120" customFormat="false" ht="26.85" hidden="false" customHeight="false" outlineLevel="0" collapsed="false">
      <c r="A120" s="6" t="s">
        <v>475</v>
      </c>
      <c r="B120" s="6" t="s">
        <v>793</v>
      </c>
      <c r="C120" s="6" t="s">
        <v>794</v>
      </c>
      <c r="D120" s="7" t="s">
        <v>84</v>
      </c>
      <c r="E120" s="7" t="s">
        <v>661</v>
      </c>
      <c r="F120" s="6" t="s">
        <v>494</v>
      </c>
      <c r="G120" s="6" t="s">
        <v>647</v>
      </c>
      <c r="H120" s="6" t="s">
        <v>648</v>
      </c>
      <c r="I120" s="7" t="s">
        <v>204</v>
      </c>
      <c r="J120" s="7"/>
      <c r="K120" s="6" t="s">
        <v>495</v>
      </c>
      <c r="L120" s="6" t="s">
        <v>250</v>
      </c>
      <c r="M120" s="6" t="s">
        <v>800</v>
      </c>
      <c r="N120" s="7" t="s">
        <v>83</v>
      </c>
      <c r="O120" s="11"/>
      <c r="P120" s="11"/>
      <c r="Q120" s="11"/>
      <c r="R120" s="11"/>
    </row>
    <row r="121" customFormat="false" ht="23.85" hidden="false" customHeight="false" outlineLevel="0" collapsed="false">
      <c r="A121" s="6" t="s">
        <v>475</v>
      </c>
      <c r="B121" s="6" t="s">
        <v>793</v>
      </c>
      <c r="C121" s="6" t="s">
        <v>794</v>
      </c>
      <c r="D121" s="7" t="s">
        <v>58</v>
      </c>
      <c r="E121" s="7" t="s">
        <v>661</v>
      </c>
      <c r="F121" s="6" t="s">
        <v>478</v>
      </c>
      <c r="G121" s="6" t="s">
        <v>647</v>
      </c>
      <c r="H121" s="6" t="s">
        <v>648</v>
      </c>
      <c r="I121" s="7" t="s">
        <v>40</v>
      </c>
      <c r="J121" s="7"/>
      <c r="K121" s="6" t="s">
        <v>479</v>
      </c>
      <c r="L121" s="6" t="s">
        <v>296</v>
      </c>
      <c r="M121" s="6" t="s">
        <v>801</v>
      </c>
      <c r="N121" s="7" t="s">
        <v>34</v>
      </c>
      <c r="O121" s="11"/>
      <c r="P121" s="11"/>
      <c r="Q121" s="11"/>
      <c r="R121" s="11"/>
    </row>
    <row r="122" customFormat="false" ht="15" hidden="false" customHeight="false" outlineLevel="0" collapsed="false">
      <c r="A122" s="6" t="s">
        <v>475</v>
      </c>
      <c r="B122" s="6" t="s">
        <v>793</v>
      </c>
      <c r="C122" s="6" t="s">
        <v>794</v>
      </c>
      <c r="D122" s="7" t="s">
        <v>34</v>
      </c>
      <c r="E122" s="7" t="s">
        <v>661</v>
      </c>
      <c r="F122" s="6" t="s">
        <v>498</v>
      </c>
      <c r="G122" s="6" t="s">
        <v>647</v>
      </c>
      <c r="H122" s="6" t="s">
        <v>648</v>
      </c>
      <c r="I122" s="6" t="s">
        <v>164</v>
      </c>
      <c r="J122" s="7"/>
      <c r="K122" s="6" t="s">
        <v>499</v>
      </c>
      <c r="L122" s="6" t="s">
        <v>296</v>
      </c>
      <c r="M122" s="6" t="s">
        <v>802</v>
      </c>
      <c r="N122" s="7" t="s">
        <v>58</v>
      </c>
      <c r="O122" s="11"/>
      <c r="P122" s="11"/>
      <c r="Q122" s="11"/>
      <c r="R122" s="11"/>
    </row>
    <row r="123" customFormat="false" ht="23.85" hidden="false" customHeight="false" outlineLevel="0" collapsed="false">
      <c r="A123" s="6" t="s">
        <v>504</v>
      </c>
      <c r="B123" s="6" t="s">
        <v>803</v>
      </c>
      <c r="C123" s="6" t="s">
        <v>804</v>
      </c>
      <c r="D123" s="7" t="s">
        <v>64</v>
      </c>
      <c r="E123" s="7" t="s">
        <v>661</v>
      </c>
      <c r="F123" s="6" t="s">
        <v>503</v>
      </c>
      <c r="G123" s="6" t="s">
        <v>647</v>
      </c>
      <c r="H123" s="6" t="s">
        <v>648</v>
      </c>
      <c r="I123" s="7" t="s">
        <v>40</v>
      </c>
      <c r="J123" s="7"/>
      <c r="K123" s="6" t="s">
        <v>505</v>
      </c>
      <c r="L123" s="6" t="s">
        <v>237</v>
      </c>
      <c r="M123" s="6" t="s">
        <v>805</v>
      </c>
      <c r="N123" s="7" t="s">
        <v>65</v>
      </c>
      <c r="O123" s="11"/>
      <c r="P123" s="11"/>
      <c r="Q123" s="11"/>
      <c r="R123" s="11"/>
    </row>
    <row r="124" customFormat="false" ht="23.85" hidden="false" customHeight="false" outlineLevel="0" collapsed="false">
      <c r="A124" s="6" t="s">
        <v>504</v>
      </c>
      <c r="B124" s="6" t="s">
        <v>803</v>
      </c>
      <c r="C124" s="6" t="s">
        <v>804</v>
      </c>
      <c r="D124" s="7" t="s">
        <v>65</v>
      </c>
      <c r="E124" s="7" t="s">
        <v>661</v>
      </c>
      <c r="F124" s="6" t="s">
        <v>508</v>
      </c>
      <c r="G124" s="6" t="s">
        <v>647</v>
      </c>
      <c r="H124" s="6" t="s">
        <v>648</v>
      </c>
      <c r="I124" s="7" t="s">
        <v>40</v>
      </c>
      <c r="J124" s="7"/>
      <c r="K124" s="6" t="s">
        <v>509</v>
      </c>
      <c r="L124" s="6" t="s">
        <v>510</v>
      </c>
      <c r="M124" s="6" t="s">
        <v>806</v>
      </c>
      <c r="N124" s="7" t="s">
        <v>64</v>
      </c>
      <c r="O124" s="11"/>
      <c r="P124" s="11"/>
      <c r="Q124" s="11"/>
      <c r="R124" s="11"/>
    </row>
    <row r="125" customFormat="false" ht="23.85" hidden="false" customHeight="false" outlineLevel="0" collapsed="false">
      <c r="A125" s="6" t="s">
        <v>504</v>
      </c>
      <c r="B125" s="6" t="s">
        <v>803</v>
      </c>
      <c r="C125" s="6" t="s">
        <v>804</v>
      </c>
      <c r="D125" s="7" t="s">
        <v>74</v>
      </c>
      <c r="E125" s="7" t="s">
        <v>661</v>
      </c>
      <c r="F125" s="6" t="s">
        <v>512</v>
      </c>
      <c r="G125" s="6" t="s">
        <v>647</v>
      </c>
      <c r="H125" s="6" t="s">
        <v>648</v>
      </c>
      <c r="I125" s="7" t="s">
        <v>40</v>
      </c>
      <c r="J125" s="7"/>
      <c r="K125" s="6" t="s">
        <v>513</v>
      </c>
      <c r="L125" s="6" t="s">
        <v>514</v>
      </c>
      <c r="M125" s="6" t="s">
        <v>807</v>
      </c>
      <c r="N125" s="7" t="s">
        <v>75</v>
      </c>
      <c r="O125" s="11"/>
      <c r="P125" s="11"/>
      <c r="Q125" s="11"/>
      <c r="R125" s="11"/>
    </row>
    <row r="126" customFormat="false" ht="23.85" hidden="false" customHeight="false" outlineLevel="0" collapsed="false">
      <c r="A126" s="6" t="s">
        <v>504</v>
      </c>
      <c r="B126" s="6" t="s">
        <v>803</v>
      </c>
      <c r="C126" s="6" t="s">
        <v>804</v>
      </c>
      <c r="D126" s="7" t="s">
        <v>75</v>
      </c>
      <c r="E126" s="7" t="s">
        <v>661</v>
      </c>
      <c r="F126" s="6" t="s">
        <v>516</v>
      </c>
      <c r="G126" s="6" t="s">
        <v>647</v>
      </c>
      <c r="H126" s="6" t="s">
        <v>648</v>
      </c>
      <c r="I126" s="6" t="s">
        <v>164</v>
      </c>
      <c r="J126" s="7"/>
      <c r="K126" s="6" t="s">
        <v>517</v>
      </c>
      <c r="L126" s="6" t="s">
        <v>296</v>
      </c>
      <c r="M126" s="6" t="s">
        <v>808</v>
      </c>
      <c r="N126" s="7" t="s">
        <v>74</v>
      </c>
      <c r="O126" s="11"/>
      <c r="P126" s="11"/>
      <c r="Q126" s="11"/>
      <c r="R126" s="11"/>
    </row>
    <row r="127" customFormat="false" ht="35.05" hidden="false" customHeight="false" outlineLevel="0" collapsed="false">
      <c r="A127" s="6" t="s">
        <v>504</v>
      </c>
      <c r="B127" s="6" t="s">
        <v>803</v>
      </c>
      <c r="C127" s="6" t="s">
        <v>804</v>
      </c>
      <c r="D127" s="7" t="s">
        <v>83</v>
      </c>
      <c r="E127" s="7" t="s">
        <v>661</v>
      </c>
      <c r="F127" s="6" t="s">
        <v>520</v>
      </c>
      <c r="G127" s="6" t="s">
        <v>647</v>
      </c>
      <c r="H127" s="6" t="s">
        <v>648</v>
      </c>
      <c r="I127" s="7" t="s">
        <v>40</v>
      </c>
      <c r="J127" s="7"/>
      <c r="K127" s="6" t="s">
        <v>521</v>
      </c>
      <c r="L127" s="6" t="s">
        <v>254</v>
      </c>
      <c r="M127" s="6" t="s">
        <v>809</v>
      </c>
      <c r="N127" s="7" t="s">
        <v>84</v>
      </c>
      <c r="O127" s="11"/>
      <c r="P127" s="11"/>
      <c r="Q127" s="11"/>
      <c r="R127" s="11"/>
    </row>
    <row r="128" customFormat="false" ht="26.85" hidden="false" customHeight="false" outlineLevel="0" collapsed="false">
      <c r="A128" s="6" t="s">
        <v>504</v>
      </c>
      <c r="B128" s="6" t="s">
        <v>803</v>
      </c>
      <c r="C128" s="6" t="s">
        <v>804</v>
      </c>
      <c r="D128" s="7" t="s">
        <v>84</v>
      </c>
      <c r="E128" s="7" t="s">
        <v>661</v>
      </c>
      <c r="F128" s="6" t="s">
        <v>524</v>
      </c>
      <c r="G128" s="6" t="s">
        <v>647</v>
      </c>
      <c r="H128" s="6" t="s">
        <v>648</v>
      </c>
      <c r="I128" s="7" t="s">
        <v>204</v>
      </c>
      <c r="J128" s="7"/>
      <c r="K128" s="6" t="s">
        <v>525</v>
      </c>
      <c r="L128" s="6" t="s">
        <v>526</v>
      </c>
      <c r="M128" s="6" t="s">
        <v>810</v>
      </c>
      <c r="N128" s="7" t="s">
        <v>83</v>
      </c>
      <c r="O128" s="11"/>
      <c r="P128" s="11"/>
      <c r="Q128" s="11"/>
      <c r="R128" s="11"/>
    </row>
    <row r="129" customFormat="false" ht="23.85" hidden="false" customHeight="false" outlineLevel="0" collapsed="false">
      <c r="A129" s="6" t="s">
        <v>504</v>
      </c>
      <c r="B129" s="6" t="s">
        <v>803</v>
      </c>
      <c r="C129" s="6" t="s">
        <v>804</v>
      </c>
      <c r="D129" s="7" t="s">
        <v>58</v>
      </c>
      <c r="E129" s="7" t="s">
        <v>661</v>
      </c>
      <c r="F129" s="6" t="s">
        <v>528</v>
      </c>
      <c r="G129" s="6" t="s">
        <v>647</v>
      </c>
      <c r="H129" s="6" t="s">
        <v>648</v>
      </c>
      <c r="I129" s="6" t="s">
        <v>164</v>
      </c>
      <c r="J129" s="7"/>
      <c r="K129" s="6" t="s">
        <v>529</v>
      </c>
      <c r="L129" s="6" t="s">
        <v>67</v>
      </c>
      <c r="M129" s="6" t="s">
        <v>811</v>
      </c>
      <c r="N129" s="7" t="s">
        <v>34</v>
      </c>
      <c r="O129" s="11"/>
      <c r="P129" s="11"/>
      <c r="Q129" s="11"/>
      <c r="R129" s="11"/>
    </row>
    <row r="130" customFormat="false" ht="26.85" hidden="false" customHeight="false" outlineLevel="0" collapsed="false">
      <c r="A130" s="6" t="s">
        <v>504</v>
      </c>
      <c r="B130" s="6" t="s">
        <v>803</v>
      </c>
      <c r="C130" s="6" t="s">
        <v>804</v>
      </c>
      <c r="D130" s="7" t="s">
        <v>34</v>
      </c>
      <c r="E130" s="7" t="s">
        <v>661</v>
      </c>
      <c r="F130" s="6" t="s">
        <v>531</v>
      </c>
      <c r="G130" s="6" t="s">
        <v>647</v>
      </c>
      <c r="H130" s="6" t="s">
        <v>648</v>
      </c>
      <c r="I130" s="7" t="s">
        <v>204</v>
      </c>
      <c r="J130" s="7"/>
      <c r="K130" s="6" t="s">
        <v>532</v>
      </c>
      <c r="L130" s="6" t="s">
        <v>533</v>
      </c>
      <c r="M130" s="6" t="s">
        <v>812</v>
      </c>
      <c r="N130" s="7" t="s">
        <v>58</v>
      </c>
      <c r="O130" s="11"/>
      <c r="P130" s="11"/>
      <c r="Q130" s="11"/>
      <c r="R130" s="11"/>
    </row>
    <row r="131" customFormat="false" ht="23.85" hidden="false" customHeight="false" outlineLevel="0" collapsed="false">
      <c r="A131" s="6" t="s">
        <v>536</v>
      </c>
      <c r="B131" s="6" t="s">
        <v>813</v>
      </c>
      <c r="C131" s="6" t="s">
        <v>814</v>
      </c>
      <c r="D131" s="7" t="s">
        <v>64</v>
      </c>
      <c r="E131" s="7" t="s">
        <v>661</v>
      </c>
      <c r="F131" s="6" t="s">
        <v>535</v>
      </c>
      <c r="G131" s="6" t="s">
        <v>647</v>
      </c>
      <c r="H131" s="6" t="s">
        <v>648</v>
      </c>
      <c r="I131" s="7" t="s">
        <v>441</v>
      </c>
      <c r="J131" s="7"/>
      <c r="K131" s="6" t="s">
        <v>537</v>
      </c>
      <c r="L131" s="6" t="s">
        <v>538</v>
      </c>
      <c r="M131" s="6" t="s">
        <v>815</v>
      </c>
      <c r="N131" s="7" t="s">
        <v>75</v>
      </c>
      <c r="O131" s="11"/>
      <c r="P131" s="11"/>
      <c r="Q131" s="11"/>
      <c r="R131" s="11"/>
    </row>
    <row r="132" customFormat="false" ht="23.85" hidden="false" customHeight="false" outlineLevel="0" collapsed="false">
      <c r="A132" s="6" t="s">
        <v>536</v>
      </c>
      <c r="B132" s="6" t="s">
        <v>813</v>
      </c>
      <c r="C132" s="6" t="s">
        <v>814</v>
      </c>
      <c r="D132" s="7" t="s">
        <v>65</v>
      </c>
      <c r="E132" s="7" t="s">
        <v>661</v>
      </c>
      <c r="F132" s="6" t="s">
        <v>541</v>
      </c>
      <c r="G132" s="6" t="s">
        <v>647</v>
      </c>
      <c r="H132" s="6" t="s">
        <v>648</v>
      </c>
      <c r="I132" s="7" t="s">
        <v>40</v>
      </c>
      <c r="J132" s="7"/>
      <c r="K132" s="6" t="s">
        <v>542</v>
      </c>
      <c r="L132" s="6" t="s">
        <v>162</v>
      </c>
      <c r="M132" s="6" t="s">
        <v>816</v>
      </c>
      <c r="N132" s="7" t="s">
        <v>83</v>
      </c>
      <c r="O132" s="11"/>
      <c r="P132" s="11"/>
      <c r="Q132" s="11"/>
      <c r="R132" s="11"/>
    </row>
    <row r="133" customFormat="false" ht="23.85" hidden="false" customHeight="false" outlineLevel="0" collapsed="false">
      <c r="A133" s="6" t="s">
        <v>536</v>
      </c>
      <c r="B133" s="6" t="s">
        <v>813</v>
      </c>
      <c r="C133" s="6" t="s">
        <v>814</v>
      </c>
      <c r="D133" s="7" t="s">
        <v>74</v>
      </c>
      <c r="E133" s="7" t="s">
        <v>661</v>
      </c>
      <c r="F133" s="6" t="s">
        <v>545</v>
      </c>
      <c r="G133" s="6" t="s">
        <v>647</v>
      </c>
      <c r="H133" s="6" t="s">
        <v>648</v>
      </c>
      <c r="I133" s="6" t="s">
        <v>164</v>
      </c>
      <c r="J133" s="7"/>
      <c r="K133" s="6" t="s">
        <v>546</v>
      </c>
      <c r="L133" s="6" t="s">
        <v>219</v>
      </c>
      <c r="M133" s="6" t="s">
        <v>817</v>
      </c>
      <c r="N133" s="7" t="s">
        <v>64</v>
      </c>
      <c r="O133" s="11"/>
      <c r="P133" s="11"/>
      <c r="Q133" s="11"/>
      <c r="R133" s="11"/>
    </row>
    <row r="134" customFormat="false" ht="23.85" hidden="false" customHeight="false" outlineLevel="0" collapsed="false">
      <c r="A134" s="6" t="s">
        <v>536</v>
      </c>
      <c r="B134" s="6" t="s">
        <v>813</v>
      </c>
      <c r="C134" s="6" t="s">
        <v>814</v>
      </c>
      <c r="D134" s="7" t="s">
        <v>75</v>
      </c>
      <c r="E134" s="7" t="s">
        <v>661</v>
      </c>
      <c r="F134" s="6" t="s">
        <v>548</v>
      </c>
      <c r="G134" s="6" t="s">
        <v>647</v>
      </c>
      <c r="H134" s="6" t="s">
        <v>648</v>
      </c>
      <c r="I134" s="7" t="s">
        <v>40</v>
      </c>
      <c r="J134" s="7"/>
      <c r="K134" s="6" t="s">
        <v>549</v>
      </c>
      <c r="L134" s="6" t="s">
        <v>219</v>
      </c>
      <c r="M134" s="6" t="s">
        <v>818</v>
      </c>
      <c r="N134" s="7" t="s">
        <v>84</v>
      </c>
      <c r="O134" s="11"/>
      <c r="P134" s="11"/>
      <c r="Q134" s="11"/>
      <c r="R134" s="11"/>
    </row>
    <row r="135" customFormat="false" ht="23.85" hidden="false" customHeight="false" outlineLevel="0" collapsed="false">
      <c r="A135" s="6" t="s">
        <v>536</v>
      </c>
      <c r="B135" s="6" t="s">
        <v>813</v>
      </c>
      <c r="C135" s="6" t="s">
        <v>814</v>
      </c>
      <c r="D135" s="7" t="s">
        <v>83</v>
      </c>
      <c r="E135" s="7" t="s">
        <v>661</v>
      </c>
      <c r="F135" s="6" t="s">
        <v>551</v>
      </c>
      <c r="G135" s="6" t="s">
        <v>647</v>
      </c>
      <c r="H135" s="6" t="s">
        <v>648</v>
      </c>
      <c r="I135" s="7" t="s">
        <v>40</v>
      </c>
      <c r="J135" s="7"/>
      <c r="K135" s="6" t="s">
        <v>552</v>
      </c>
      <c r="L135" s="6" t="s">
        <v>553</v>
      </c>
      <c r="M135" s="6" t="s">
        <v>819</v>
      </c>
      <c r="N135" s="7" t="s">
        <v>65</v>
      </c>
      <c r="O135" s="11"/>
      <c r="P135" s="11"/>
      <c r="Q135" s="11"/>
      <c r="R135" s="11"/>
    </row>
    <row r="136" customFormat="false" ht="23.85" hidden="false" customHeight="false" outlineLevel="0" collapsed="false">
      <c r="A136" s="6" t="s">
        <v>536</v>
      </c>
      <c r="B136" s="6" t="s">
        <v>813</v>
      </c>
      <c r="C136" s="6" t="s">
        <v>814</v>
      </c>
      <c r="D136" s="7" t="s">
        <v>84</v>
      </c>
      <c r="E136" s="7" t="s">
        <v>661</v>
      </c>
      <c r="F136" s="6" t="s">
        <v>555</v>
      </c>
      <c r="G136" s="6" t="s">
        <v>647</v>
      </c>
      <c r="H136" s="6" t="s">
        <v>648</v>
      </c>
      <c r="I136" s="7" t="s">
        <v>40</v>
      </c>
      <c r="J136" s="7"/>
      <c r="K136" s="6" t="s">
        <v>556</v>
      </c>
      <c r="L136" s="6" t="s">
        <v>557</v>
      </c>
      <c r="M136" s="6" t="s">
        <v>820</v>
      </c>
      <c r="N136" s="7" t="s">
        <v>34</v>
      </c>
      <c r="O136" s="11"/>
      <c r="P136" s="11"/>
      <c r="Q136" s="11"/>
      <c r="R136" s="11"/>
    </row>
    <row r="137" customFormat="false" ht="23.85" hidden="false" customHeight="false" outlineLevel="0" collapsed="false">
      <c r="A137" s="6" t="s">
        <v>536</v>
      </c>
      <c r="B137" s="6" t="s">
        <v>813</v>
      </c>
      <c r="C137" s="6" t="s">
        <v>814</v>
      </c>
      <c r="D137" s="7" t="s">
        <v>58</v>
      </c>
      <c r="E137" s="7" t="s">
        <v>661</v>
      </c>
      <c r="F137" s="6" t="s">
        <v>559</v>
      </c>
      <c r="G137" s="6" t="s">
        <v>647</v>
      </c>
      <c r="H137" s="6" t="s">
        <v>648</v>
      </c>
      <c r="I137" s="7" t="s">
        <v>441</v>
      </c>
      <c r="J137" s="7"/>
      <c r="K137" s="6" t="s">
        <v>560</v>
      </c>
      <c r="L137" s="6" t="s">
        <v>561</v>
      </c>
      <c r="M137" s="6" t="s">
        <v>821</v>
      </c>
      <c r="N137" s="7" t="s">
        <v>74</v>
      </c>
      <c r="O137" s="11"/>
      <c r="P137" s="11"/>
      <c r="Q137" s="11"/>
      <c r="R137" s="11"/>
    </row>
    <row r="138" customFormat="false" ht="23.85" hidden="false" customHeight="false" outlineLevel="0" collapsed="false">
      <c r="A138" s="6" t="s">
        <v>536</v>
      </c>
      <c r="B138" s="6" t="s">
        <v>813</v>
      </c>
      <c r="C138" s="6" t="s">
        <v>814</v>
      </c>
      <c r="D138" s="7" t="s">
        <v>34</v>
      </c>
      <c r="E138" s="7" t="s">
        <v>661</v>
      </c>
      <c r="F138" s="6" t="s">
        <v>564</v>
      </c>
      <c r="G138" s="6" t="s">
        <v>647</v>
      </c>
      <c r="H138" s="6" t="s">
        <v>648</v>
      </c>
      <c r="I138" s="7" t="s">
        <v>40</v>
      </c>
      <c r="J138" s="7"/>
      <c r="K138" s="6" t="s">
        <v>565</v>
      </c>
      <c r="L138" s="6" t="s">
        <v>566</v>
      </c>
      <c r="M138" s="6" t="s">
        <v>822</v>
      </c>
      <c r="N138" s="7" t="s">
        <v>58</v>
      </c>
      <c r="O138" s="11"/>
      <c r="P138" s="11"/>
      <c r="Q138" s="11"/>
      <c r="R138" s="11"/>
    </row>
    <row r="139" customFormat="false" ht="15" hidden="false" customHeight="false" outlineLevel="0" collapsed="false">
      <c r="A139" s="6" t="s">
        <v>570</v>
      </c>
      <c r="B139" s="6" t="s">
        <v>823</v>
      </c>
      <c r="C139" s="6" t="s">
        <v>824</v>
      </c>
      <c r="D139" s="7" t="s">
        <v>64</v>
      </c>
      <c r="E139" s="7" t="s">
        <v>661</v>
      </c>
      <c r="F139" s="6" t="s">
        <v>592</v>
      </c>
      <c r="G139" s="6" t="s">
        <v>662</v>
      </c>
      <c r="H139" s="6" t="s">
        <v>656</v>
      </c>
      <c r="I139" s="6" t="s">
        <v>164</v>
      </c>
      <c r="J139" s="7"/>
      <c r="K139" s="6" t="s">
        <v>593</v>
      </c>
      <c r="L139" s="6" t="s">
        <v>594</v>
      </c>
      <c r="M139" s="6" t="s">
        <v>825</v>
      </c>
      <c r="N139" s="7" t="s">
        <v>75</v>
      </c>
      <c r="O139" s="11"/>
      <c r="P139" s="11"/>
      <c r="Q139" s="11"/>
      <c r="R139" s="11"/>
    </row>
    <row r="140" customFormat="false" ht="23.85" hidden="false" customHeight="false" outlineLevel="0" collapsed="false">
      <c r="A140" s="6" t="s">
        <v>570</v>
      </c>
      <c r="B140" s="6" t="s">
        <v>823</v>
      </c>
      <c r="C140" s="6" t="s">
        <v>824</v>
      </c>
      <c r="D140" s="7" t="s">
        <v>65</v>
      </c>
      <c r="E140" s="7" t="s">
        <v>661</v>
      </c>
      <c r="F140" s="6" t="s">
        <v>569</v>
      </c>
      <c r="G140" s="6" t="s">
        <v>662</v>
      </c>
      <c r="H140" s="6" t="s">
        <v>656</v>
      </c>
      <c r="I140" s="6" t="s">
        <v>164</v>
      </c>
      <c r="J140" s="7"/>
      <c r="K140" s="6" t="s">
        <v>571</v>
      </c>
      <c r="L140" s="6" t="s">
        <v>162</v>
      </c>
      <c r="M140" s="6" t="s">
        <v>826</v>
      </c>
      <c r="N140" s="7" t="s">
        <v>83</v>
      </c>
      <c r="O140" s="11"/>
      <c r="P140" s="11"/>
      <c r="Q140" s="11"/>
      <c r="R140" s="11"/>
    </row>
    <row r="141" customFormat="false" ht="23.85" hidden="false" customHeight="false" outlineLevel="0" collapsed="false">
      <c r="A141" s="6" t="s">
        <v>570</v>
      </c>
      <c r="B141" s="6" t="s">
        <v>823</v>
      </c>
      <c r="C141" s="6" t="s">
        <v>824</v>
      </c>
      <c r="D141" s="7" t="s">
        <v>74</v>
      </c>
      <c r="E141" s="7" t="s">
        <v>661</v>
      </c>
      <c r="F141" s="6" t="s">
        <v>587</v>
      </c>
      <c r="G141" s="6" t="s">
        <v>662</v>
      </c>
      <c r="H141" s="6" t="s">
        <v>656</v>
      </c>
      <c r="I141" s="7" t="s">
        <v>40</v>
      </c>
      <c r="J141" s="7"/>
      <c r="K141" s="6" t="s">
        <v>588</v>
      </c>
      <c r="L141" s="6" t="s">
        <v>589</v>
      </c>
      <c r="M141" s="6" t="s">
        <v>827</v>
      </c>
      <c r="N141" s="7" t="s">
        <v>64</v>
      </c>
      <c r="O141" s="11"/>
      <c r="P141" s="11"/>
      <c r="Q141" s="11"/>
      <c r="R141" s="11"/>
    </row>
    <row r="142" customFormat="false" ht="23.85" hidden="false" customHeight="false" outlineLevel="0" collapsed="false">
      <c r="A142" s="6" t="s">
        <v>570</v>
      </c>
      <c r="B142" s="6" t="s">
        <v>823</v>
      </c>
      <c r="C142" s="6" t="s">
        <v>824</v>
      </c>
      <c r="D142" s="7" t="s">
        <v>75</v>
      </c>
      <c r="E142" s="7" t="s">
        <v>661</v>
      </c>
      <c r="F142" s="6" t="s">
        <v>596</v>
      </c>
      <c r="G142" s="6" t="s">
        <v>662</v>
      </c>
      <c r="H142" s="6" t="s">
        <v>656</v>
      </c>
      <c r="I142" s="7" t="s">
        <v>40</v>
      </c>
      <c r="J142" s="7"/>
      <c r="K142" s="6" t="s">
        <v>597</v>
      </c>
      <c r="L142" s="6" t="s">
        <v>296</v>
      </c>
      <c r="M142" s="6" t="s">
        <v>828</v>
      </c>
      <c r="N142" s="7" t="s">
        <v>84</v>
      </c>
      <c r="O142" s="11"/>
      <c r="P142" s="11"/>
      <c r="Q142" s="11"/>
      <c r="R142" s="11"/>
    </row>
    <row r="143" customFormat="false" ht="23.85" hidden="false" customHeight="false" outlineLevel="0" collapsed="false">
      <c r="A143" s="6" t="s">
        <v>570</v>
      </c>
      <c r="B143" s="6" t="s">
        <v>823</v>
      </c>
      <c r="C143" s="6" t="s">
        <v>824</v>
      </c>
      <c r="D143" s="7" t="s">
        <v>83</v>
      </c>
      <c r="E143" s="7" t="s">
        <v>661</v>
      </c>
      <c r="F143" s="6" t="s">
        <v>578</v>
      </c>
      <c r="G143" s="6" t="s">
        <v>662</v>
      </c>
      <c r="H143" s="6" t="s">
        <v>648</v>
      </c>
      <c r="I143" s="6" t="s">
        <v>164</v>
      </c>
      <c r="J143" s="7"/>
      <c r="K143" s="6" t="s">
        <v>579</v>
      </c>
      <c r="L143" s="6" t="s">
        <v>198</v>
      </c>
      <c r="M143" s="6" t="s">
        <v>829</v>
      </c>
      <c r="N143" s="7" t="s">
        <v>65</v>
      </c>
      <c r="O143" s="11"/>
      <c r="P143" s="11"/>
      <c r="Q143" s="11"/>
      <c r="R143" s="11"/>
    </row>
    <row r="144" customFormat="false" ht="23.85" hidden="false" customHeight="false" outlineLevel="0" collapsed="false">
      <c r="A144" s="6" t="s">
        <v>570</v>
      </c>
      <c r="B144" s="6" t="s">
        <v>823</v>
      </c>
      <c r="C144" s="6" t="s">
        <v>824</v>
      </c>
      <c r="D144" s="7" t="s">
        <v>84</v>
      </c>
      <c r="E144" s="7" t="s">
        <v>661</v>
      </c>
      <c r="F144" s="6" t="s">
        <v>581</v>
      </c>
      <c r="G144" s="6" t="s">
        <v>662</v>
      </c>
      <c r="H144" s="6" t="s">
        <v>648</v>
      </c>
      <c r="I144" s="6" t="s">
        <v>164</v>
      </c>
      <c r="J144" s="7"/>
      <c r="K144" s="6" t="s">
        <v>582</v>
      </c>
      <c r="L144" s="6" t="s">
        <v>250</v>
      </c>
      <c r="M144" s="6" t="s">
        <v>830</v>
      </c>
      <c r="N144" s="7" t="s">
        <v>34</v>
      </c>
      <c r="O144" s="11"/>
      <c r="P144" s="11"/>
      <c r="Q144" s="11"/>
      <c r="R144" s="11"/>
    </row>
    <row r="145" customFormat="false" ht="26.85" hidden="false" customHeight="false" outlineLevel="0" collapsed="false">
      <c r="A145" s="6" t="s">
        <v>570</v>
      </c>
      <c r="B145" s="6" t="s">
        <v>823</v>
      </c>
      <c r="C145" s="6" t="s">
        <v>824</v>
      </c>
      <c r="D145" s="7" t="s">
        <v>58</v>
      </c>
      <c r="E145" s="7" t="s">
        <v>661</v>
      </c>
      <c r="F145" s="6" t="s">
        <v>584</v>
      </c>
      <c r="G145" s="6" t="s">
        <v>662</v>
      </c>
      <c r="H145" s="6" t="s">
        <v>648</v>
      </c>
      <c r="I145" s="7" t="s">
        <v>204</v>
      </c>
      <c r="J145" s="7"/>
      <c r="K145" s="6" t="s">
        <v>585</v>
      </c>
      <c r="L145" s="6" t="s">
        <v>250</v>
      </c>
      <c r="M145" s="6" t="s">
        <v>831</v>
      </c>
      <c r="N145" s="7" t="s">
        <v>74</v>
      </c>
      <c r="O145" s="11"/>
      <c r="P145" s="11"/>
      <c r="Q145" s="11"/>
      <c r="R145" s="11"/>
    </row>
    <row r="146" customFormat="false" ht="15" hidden="false" customHeight="false" outlineLevel="0" collapsed="false">
      <c r="A146" s="6" t="s">
        <v>570</v>
      </c>
      <c r="B146" s="6" t="s">
        <v>823</v>
      </c>
      <c r="C146" s="6" t="s">
        <v>824</v>
      </c>
      <c r="D146" s="7" t="s">
        <v>34</v>
      </c>
      <c r="E146" s="7" t="s">
        <v>661</v>
      </c>
      <c r="F146" s="6" t="s">
        <v>573</v>
      </c>
      <c r="G146" s="6" t="s">
        <v>662</v>
      </c>
      <c r="H146" s="6" t="s">
        <v>648</v>
      </c>
      <c r="I146" s="7" t="s">
        <v>40</v>
      </c>
      <c r="J146" s="7"/>
      <c r="K146" s="6" t="s">
        <v>574</v>
      </c>
      <c r="L146" s="6" t="s">
        <v>575</v>
      </c>
      <c r="M146" s="6" t="s">
        <v>832</v>
      </c>
      <c r="N146" s="7" t="s">
        <v>58</v>
      </c>
      <c r="O146" s="11"/>
      <c r="P146" s="11"/>
      <c r="Q146" s="11"/>
      <c r="R146" s="11"/>
    </row>
    <row r="147" customFormat="false" ht="15" hidden="false" customHeight="false" outlineLevel="0" collapsed="false">
      <c r="A147" s="6" t="s">
        <v>600</v>
      </c>
      <c r="B147" s="6" t="s">
        <v>833</v>
      </c>
      <c r="C147" s="6" t="s">
        <v>834</v>
      </c>
      <c r="D147" s="7" t="s">
        <v>64</v>
      </c>
      <c r="E147" s="7" t="s">
        <v>661</v>
      </c>
      <c r="F147" s="6" t="s">
        <v>621</v>
      </c>
      <c r="G147" s="6" t="s">
        <v>662</v>
      </c>
      <c r="H147" s="6" t="s">
        <v>648</v>
      </c>
      <c r="I147" s="7" t="s">
        <v>247</v>
      </c>
      <c r="J147" s="7"/>
      <c r="K147" s="6" t="s">
        <v>622</v>
      </c>
      <c r="L147" s="6" t="s">
        <v>623</v>
      </c>
      <c r="M147" s="6" t="s">
        <v>835</v>
      </c>
      <c r="N147" s="7" t="s">
        <v>75</v>
      </c>
      <c r="O147" s="11"/>
      <c r="P147" s="11"/>
      <c r="Q147" s="11"/>
      <c r="R147" s="11"/>
    </row>
    <row r="148" customFormat="false" ht="23.85" hidden="false" customHeight="false" outlineLevel="0" collapsed="false">
      <c r="A148" s="6" t="s">
        <v>600</v>
      </c>
      <c r="B148" s="6" t="s">
        <v>833</v>
      </c>
      <c r="C148" s="6" t="s">
        <v>834</v>
      </c>
      <c r="D148" s="7" t="s">
        <v>65</v>
      </c>
      <c r="E148" s="7" t="s">
        <v>661</v>
      </c>
      <c r="F148" s="6" t="s">
        <v>604</v>
      </c>
      <c r="G148" s="6" t="s">
        <v>662</v>
      </c>
      <c r="H148" s="6" t="s">
        <v>648</v>
      </c>
      <c r="I148" s="7" t="s">
        <v>441</v>
      </c>
      <c r="J148" s="7"/>
      <c r="K148" s="6" t="s">
        <v>605</v>
      </c>
      <c r="L148" s="6" t="s">
        <v>219</v>
      </c>
      <c r="M148" s="6" t="s">
        <v>836</v>
      </c>
      <c r="N148" s="7" t="s">
        <v>83</v>
      </c>
      <c r="O148" s="11"/>
      <c r="P148" s="11"/>
      <c r="Q148" s="11"/>
      <c r="R148" s="11"/>
    </row>
    <row r="149" customFormat="false" ht="23.85" hidden="false" customHeight="false" outlineLevel="0" collapsed="false">
      <c r="A149" s="6" t="s">
        <v>600</v>
      </c>
      <c r="B149" s="6" t="s">
        <v>833</v>
      </c>
      <c r="C149" s="6" t="s">
        <v>834</v>
      </c>
      <c r="D149" s="7" t="s">
        <v>74</v>
      </c>
      <c r="E149" s="7" t="s">
        <v>661</v>
      </c>
      <c r="F149" s="6" t="s">
        <v>607</v>
      </c>
      <c r="G149" s="6" t="s">
        <v>662</v>
      </c>
      <c r="H149" s="6" t="s">
        <v>648</v>
      </c>
      <c r="I149" s="7" t="s">
        <v>40</v>
      </c>
      <c r="J149" s="7"/>
      <c r="K149" s="6" t="s">
        <v>608</v>
      </c>
      <c r="L149" s="6" t="s">
        <v>162</v>
      </c>
      <c r="M149" s="6" t="s">
        <v>837</v>
      </c>
      <c r="N149" s="7" t="s">
        <v>64</v>
      </c>
      <c r="O149" s="11"/>
      <c r="P149" s="11"/>
      <c r="Q149" s="11"/>
      <c r="R149" s="11"/>
    </row>
    <row r="150" customFormat="false" ht="23.85" hidden="false" customHeight="false" outlineLevel="0" collapsed="false">
      <c r="A150" s="6" t="s">
        <v>600</v>
      </c>
      <c r="B150" s="6" t="s">
        <v>833</v>
      </c>
      <c r="C150" s="6" t="s">
        <v>834</v>
      </c>
      <c r="D150" s="7" t="s">
        <v>75</v>
      </c>
      <c r="E150" s="7" t="s">
        <v>661</v>
      </c>
      <c r="F150" s="6" t="s">
        <v>599</v>
      </c>
      <c r="G150" s="6" t="s">
        <v>662</v>
      </c>
      <c r="H150" s="6" t="s">
        <v>648</v>
      </c>
      <c r="I150" s="7" t="s">
        <v>40</v>
      </c>
      <c r="J150" s="7"/>
      <c r="K150" s="6" t="s">
        <v>601</v>
      </c>
      <c r="L150" s="6" t="s">
        <v>602</v>
      </c>
      <c r="M150" s="6" t="s">
        <v>838</v>
      </c>
      <c r="N150" s="7" t="s">
        <v>84</v>
      </c>
      <c r="O150" s="11"/>
      <c r="P150" s="11"/>
      <c r="Q150" s="11"/>
      <c r="R150" s="11"/>
    </row>
    <row r="151" customFormat="false" ht="15" hidden="false" customHeight="false" outlineLevel="0" collapsed="false">
      <c r="A151" s="6" t="s">
        <v>600</v>
      </c>
      <c r="B151" s="6" t="s">
        <v>833</v>
      </c>
      <c r="C151" s="6" t="s">
        <v>834</v>
      </c>
      <c r="D151" s="7" t="s">
        <v>83</v>
      </c>
      <c r="E151" s="7" t="s">
        <v>661</v>
      </c>
      <c r="F151" s="6" t="s">
        <v>610</v>
      </c>
      <c r="G151" s="6" t="s">
        <v>662</v>
      </c>
      <c r="H151" s="6" t="s">
        <v>648</v>
      </c>
      <c r="I151" s="6" t="s">
        <v>164</v>
      </c>
      <c r="J151" s="7"/>
      <c r="K151" s="6" t="s">
        <v>611</v>
      </c>
      <c r="L151" s="6" t="s">
        <v>162</v>
      </c>
      <c r="M151" s="6" t="s">
        <v>839</v>
      </c>
      <c r="N151" s="7" t="s">
        <v>65</v>
      </c>
      <c r="O151" s="11"/>
      <c r="P151" s="11"/>
      <c r="Q151" s="11"/>
      <c r="R151" s="11"/>
    </row>
    <row r="152" customFormat="false" ht="23.85" hidden="false" customHeight="false" outlineLevel="0" collapsed="false">
      <c r="A152" s="6" t="s">
        <v>600</v>
      </c>
      <c r="B152" s="6" t="s">
        <v>833</v>
      </c>
      <c r="C152" s="6" t="s">
        <v>834</v>
      </c>
      <c r="D152" s="7" t="s">
        <v>84</v>
      </c>
      <c r="E152" s="7" t="s">
        <v>661</v>
      </c>
      <c r="F152" s="6" t="s">
        <v>613</v>
      </c>
      <c r="G152" s="6" t="s">
        <v>662</v>
      </c>
      <c r="H152" s="6" t="s">
        <v>648</v>
      </c>
      <c r="I152" s="6" t="s">
        <v>164</v>
      </c>
      <c r="J152" s="7"/>
      <c r="K152" s="6" t="s">
        <v>614</v>
      </c>
      <c r="L152" s="6" t="s">
        <v>250</v>
      </c>
      <c r="M152" s="6" t="s">
        <v>840</v>
      </c>
      <c r="N152" s="7" t="s">
        <v>34</v>
      </c>
      <c r="O152" s="11"/>
      <c r="P152" s="11"/>
      <c r="Q152" s="11"/>
      <c r="R152" s="11"/>
    </row>
    <row r="153" customFormat="false" ht="23.85" hidden="false" customHeight="false" outlineLevel="0" collapsed="false">
      <c r="A153" s="6" t="s">
        <v>600</v>
      </c>
      <c r="B153" s="6" t="s">
        <v>833</v>
      </c>
      <c r="C153" s="6" t="s">
        <v>834</v>
      </c>
      <c r="D153" s="7" t="s">
        <v>58</v>
      </c>
      <c r="E153" s="7" t="s">
        <v>661</v>
      </c>
      <c r="F153" s="6" t="s">
        <v>617</v>
      </c>
      <c r="G153" s="6" t="s">
        <v>662</v>
      </c>
      <c r="H153" s="6" t="s">
        <v>648</v>
      </c>
      <c r="I153" s="7" t="s">
        <v>40</v>
      </c>
      <c r="J153" s="7"/>
      <c r="K153" s="6" t="s">
        <v>618</v>
      </c>
      <c r="L153" s="6" t="s">
        <v>267</v>
      </c>
      <c r="M153" s="6" t="s">
        <v>841</v>
      </c>
      <c r="N153" s="7" t="s">
        <v>74</v>
      </c>
      <c r="O153" s="11"/>
      <c r="P153" s="11"/>
      <c r="Q153" s="11"/>
      <c r="R153" s="11"/>
    </row>
    <row r="154" customFormat="false" ht="23.85" hidden="false" customHeight="false" outlineLevel="0" collapsed="false">
      <c r="A154" s="6" t="s">
        <v>600</v>
      </c>
      <c r="B154" s="6" t="s">
        <v>833</v>
      </c>
      <c r="C154" s="6" t="s">
        <v>834</v>
      </c>
      <c r="D154" s="7" t="s">
        <v>34</v>
      </c>
      <c r="E154" s="7" t="s">
        <v>661</v>
      </c>
      <c r="F154" s="6" t="s">
        <v>626</v>
      </c>
      <c r="G154" s="6" t="s">
        <v>662</v>
      </c>
      <c r="H154" s="6" t="s">
        <v>648</v>
      </c>
      <c r="I154" s="7" t="s">
        <v>40</v>
      </c>
      <c r="J154" s="7"/>
      <c r="K154" s="6" t="s">
        <v>627</v>
      </c>
      <c r="L154" s="6" t="s">
        <v>330</v>
      </c>
      <c r="M154" s="6" t="s">
        <v>842</v>
      </c>
      <c r="N154" s="7" t="s">
        <v>58</v>
      </c>
      <c r="O154" s="11"/>
      <c r="P154" s="11"/>
      <c r="Q154" s="11"/>
      <c r="R154" s="11"/>
    </row>
    <row r="155" customFormat="false" ht="23.85" hidden="false" customHeight="false" outlineLevel="0" collapsed="false">
      <c r="A155" s="6" t="s">
        <v>631</v>
      </c>
      <c r="B155" s="6" t="s">
        <v>843</v>
      </c>
      <c r="C155" s="6" t="s">
        <v>844</v>
      </c>
      <c r="D155" s="7" t="s">
        <v>64</v>
      </c>
      <c r="E155" s="7" t="s">
        <v>661</v>
      </c>
      <c r="F155" s="6" t="s">
        <v>630</v>
      </c>
      <c r="G155" s="6" t="s">
        <v>662</v>
      </c>
      <c r="H155" s="6" t="s">
        <v>648</v>
      </c>
      <c r="I155" s="6" t="s">
        <v>164</v>
      </c>
      <c r="J155" s="7"/>
      <c r="K155" s="6" t="s">
        <v>632</v>
      </c>
      <c r="L155" s="6" t="s">
        <v>219</v>
      </c>
      <c r="M155" s="6" t="s">
        <v>845</v>
      </c>
      <c r="N155" s="7" t="s">
        <v>75</v>
      </c>
      <c r="O155" s="11"/>
      <c r="P155" s="11"/>
      <c r="Q155" s="11"/>
      <c r="R155" s="11"/>
    </row>
    <row r="156" customFormat="false" ht="23.85" hidden="false" customHeight="false" outlineLevel="0" collapsed="false">
      <c r="A156" s="6" t="s">
        <v>631</v>
      </c>
      <c r="B156" s="6" t="s">
        <v>843</v>
      </c>
      <c r="C156" s="6" t="s">
        <v>844</v>
      </c>
      <c r="D156" s="7" t="s">
        <v>65</v>
      </c>
      <c r="E156" s="7" t="s">
        <v>661</v>
      </c>
      <c r="F156" s="6" t="s">
        <v>634</v>
      </c>
      <c r="G156" s="6" t="s">
        <v>662</v>
      </c>
      <c r="H156" s="6" t="s">
        <v>648</v>
      </c>
      <c r="I156" s="7" t="s">
        <v>40</v>
      </c>
      <c r="J156" s="7"/>
      <c r="K156" s="6" t="s">
        <v>635</v>
      </c>
      <c r="L156" s="6" t="s">
        <v>307</v>
      </c>
      <c r="M156" s="6" t="s">
        <v>846</v>
      </c>
      <c r="N156" s="7" t="s">
        <v>83</v>
      </c>
      <c r="O156" s="11"/>
      <c r="P156" s="11"/>
      <c r="Q156" s="11"/>
      <c r="R156" s="11"/>
    </row>
  </sheetData>
  <autoFilter ref="A1:R156"/>
  <dataValidations count="2">
    <dataValidation allowBlank="true" errorStyle="stop" operator="between" showDropDown="false" showErrorMessage="false" showInputMessage="false" sqref="P3:P156" type="list">
      <formula1>"O,반려,미제출"</formula1>
      <formula2>0</formula2>
    </dataValidation>
    <dataValidation allowBlank="true" errorStyle="stop" operator="between" showDropDown="false" showErrorMessage="false" showInputMessage="false" sqref="Q3:Q156" type="list">
      <formula1>"O,수정필요"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8"/>
    <col collapsed="false" customWidth="true" hidden="false" outlineLevel="0" max="4" min="4" style="0" width="9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9"/>
  </cols>
  <sheetData>
    <row r="1" customFormat="false" ht="15" hidden="false" customHeight="false" outlineLevel="0" collapsed="false">
      <c r="A1" s="5" t="s">
        <v>17</v>
      </c>
      <c r="B1" s="5" t="s">
        <v>847</v>
      </c>
      <c r="C1" s="5" t="s">
        <v>848</v>
      </c>
      <c r="D1" s="5" t="s">
        <v>849</v>
      </c>
      <c r="E1" s="5" t="s">
        <v>850</v>
      </c>
      <c r="F1" s="5" t="s">
        <v>851</v>
      </c>
      <c r="G1" s="5" t="s">
        <v>852</v>
      </c>
    </row>
    <row r="2" customFormat="false" ht="15" hidden="false" customHeight="false" outlineLevel="0" collapsed="false">
      <c r="A2" s="12" t="s">
        <v>46</v>
      </c>
      <c r="B2" s="12" t="n">
        <f aca="false">COUNTIF(주차별배정!$A$3:$A$156,A2)</f>
        <v>8</v>
      </c>
      <c r="C2" s="12" t="n">
        <f aca="false">COUNTIFS(주차별배정!$A$3:$A$156,A2,주차별배정!$O$3:$O$156,"&lt;&gt;")</f>
        <v>0</v>
      </c>
      <c r="D2" s="12" t="n">
        <f aca="false">COUNTIFS(주차별배정!$A$3:$A$156,A2,주차별배정!$P$3:$P$156,"O")</f>
        <v>0</v>
      </c>
      <c r="E2" s="12" t="n">
        <f aca="false">COUNTIFS(주차별배정!$A$3:$A$156,A2,주차별배정!$P$3:$P$156,"반려")</f>
        <v>0</v>
      </c>
      <c r="F2" s="12" t="n">
        <f aca="false">COUNTIFS(주차별배정!$A$3:$A$156,A2,주차별배정!$Q$3:$Q$156,"&lt;&gt;")</f>
        <v>0</v>
      </c>
      <c r="G2" s="13" t="str">
        <f aca="false">IF(C2=0,"-",D2/C2)</f>
        <v>-</v>
      </c>
    </row>
    <row r="3" customFormat="false" ht="15" hidden="false" customHeight="false" outlineLevel="0" collapsed="false">
      <c r="A3" s="12" t="s">
        <v>57</v>
      </c>
      <c r="B3" s="12" t="n">
        <f aca="false">COUNTIF(주차별배정!$A$3:$A$156,A3)</f>
        <v>8</v>
      </c>
      <c r="C3" s="12" t="n">
        <f aca="false">COUNTIFS(주차별배정!$A$3:$A$156,A3,주차별배정!$O$3:$O$156,"&lt;&gt;")</f>
        <v>0</v>
      </c>
      <c r="D3" s="12" t="n">
        <f aca="false">COUNTIFS(주차별배정!$A$3:$A$156,A3,주차별배정!$P$3:$P$156,"O")</f>
        <v>0</v>
      </c>
      <c r="E3" s="12" t="n">
        <f aca="false">COUNTIFS(주차별배정!$A$3:$A$156,A3,주차별배정!$P$3:$P$156,"반려")</f>
        <v>0</v>
      </c>
      <c r="F3" s="12" t="n">
        <f aca="false">COUNTIFS(주차별배정!$A$3:$A$156,A3,주차별배정!$Q$3:$Q$156,"&lt;&gt;")</f>
        <v>0</v>
      </c>
      <c r="G3" s="13" t="str">
        <f aca="false">IF(C3=0,"-",D3/C3)</f>
        <v>-</v>
      </c>
    </row>
    <row r="4" customFormat="false" ht="15" hidden="false" customHeight="false" outlineLevel="0" collapsed="false">
      <c r="A4" s="12" t="s">
        <v>97</v>
      </c>
      <c r="B4" s="12" t="n">
        <f aca="false">COUNTIF(주차별배정!$A$3:$A$156,A4)</f>
        <v>8</v>
      </c>
      <c r="C4" s="12" t="n">
        <f aca="false">COUNTIFS(주차별배정!$A$3:$A$156,A4,주차별배정!$O$3:$O$156,"&lt;&gt;")</f>
        <v>0</v>
      </c>
      <c r="D4" s="12" t="n">
        <f aca="false">COUNTIFS(주차별배정!$A$3:$A$156,A4,주차별배정!$P$3:$P$156,"O")</f>
        <v>0</v>
      </c>
      <c r="E4" s="12" t="n">
        <f aca="false">COUNTIFS(주차별배정!$A$3:$A$156,A4,주차별배정!$P$3:$P$156,"반려")</f>
        <v>0</v>
      </c>
      <c r="F4" s="12" t="n">
        <f aca="false">COUNTIFS(주차별배정!$A$3:$A$156,A4,주차별배정!$Q$3:$Q$156,"&lt;&gt;")</f>
        <v>0</v>
      </c>
      <c r="G4" s="13" t="str">
        <f aca="false">IF(C4=0,"-",D4/C4)</f>
        <v>-</v>
      </c>
    </row>
    <row r="5" customFormat="false" ht="15" hidden="false" customHeight="false" outlineLevel="0" collapsed="false">
      <c r="A5" s="12" t="s">
        <v>129</v>
      </c>
      <c r="B5" s="12" t="n">
        <f aca="false">COUNTIF(주차별배정!$A$3:$A$156,A5)</f>
        <v>8</v>
      </c>
      <c r="C5" s="12" t="n">
        <f aca="false">COUNTIFS(주차별배정!$A$3:$A$156,A5,주차별배정!$O$3:$O$156,"&lt;&gt;")</f>
        <v>0</v>
      </c>
      <c r="D5" s="12" t="n">
        <f aca="false">COUNTIFS(주차별배정!$A$3:$A$156,A5,주차별배정!$P$3:$P$156,"O")</f>
        <v>0</v>
      </c>
      <c r="E5" s="12" t="n">
        <f aca="false">COUNTIFS(주차별배정!$A$3:$A$156,A5,주차별배정!$P$3:$P$156,"반려")</f>
        <v>0</v>
      </c>
      <c r="F5" s="12" t="n">
        <f aca="false">COUNTIFS(주차별배정!$A$3:$A$156,A5,주차별배정!$Q$3:$Q$156,"&lt;&gt;")</f>
        <v>0</v>
      </c>
      <c r="G5" s="13" t="str">
        <f aca="false">IF(C5=0,"-",D5/C5)</f>
        <v>-</v>
      </c>
    </row>
    <row r="6" customFormat="false" ht="15" hidden="false" customHeight="false" outlineLevel="0" collapsed="false">
      <c r="A6" s="12" t="s">
        <v>160</v>
      </c>
      <c r="B6" s="12" t="n">
        <f aca="false">COUNTIF(주차별배정!$A$3:$A$156,A6)</f>
        <v>8</v>
      </c>
      <c r="C6" s="12" t="n">
        <f aca="false">COUNTIFS(주차별배정!$A$3:$A$156,A6,주차별배정!$O$3:$O$156,"&lt;&gt;")</f>
        <v>0</v>
      </c>
      <c r="D6" s="12" t="n">
        <f aca="false">COUNTIFS(주차별배정!$A$3:$A$156,A6,주차별배정!$P$3:$P$156,"O")</f>
        <v>0</v>
      </c>
      <c r="E6" s="12" t="n">
        <f aca="false">COUNTIFS(주차별배정!$A$3:$A$156,A6,주차별배정!$P$3:$P$156,"반려")</f>
        <v>0</v>
      </c>
      <c r="F6" s="12" t="n">
        <f aca="false">COUNTIFS(주차별배정!$A$3:$A$156,A6,주차별배정!$Q$3:$Q$156,"&lt;&gt;")</f>
        <v>0</v>
      </c>
      <c r="G6" s="13" t="str">
        <f aca="false">IF(C6=0,"-",D6/C6)</f>
        <v>-</v>
      </c>
    </row>
    <row r="7" customFormat="false" ht="15" hidden="false" customHeight="false" outlineLevel="0" collapsed="false">
      <c r="A7" s="12" t="s">
        <v>196</v>
      </c>
      <c r="B7" s="12" t="n">
        <f aca="false">COUNTIF(주차별배정!$A$3:$A$156,A7)</f>
        <v>8</v>
      </c>
      <c r="C7" s="12" t="n">
        <f aca="false">COUNTIFS(주차별배정!$A$3:$A$156,A7,주차별배정!$O$3:$O$156,"&lt;&gt;")</f>
        <v>0</v>
      </c>
      <c r="D7" s="12" t="n">
        <f aca="false">COUNTIFS(주차별배정!$A$3:$A$156,A7,주차별배정!$P$3:$P$156,"O")</f>
        <v>0</v>
      </c>
      <c r="E7" s="12" t="n">
        <f aca="false">COUNTIFS(주차별배정!$A$3:$A$156,A7,주차별배정!$P$3:$P$156,"반려")</f>
        <v>0</v>
      </c>
      <c r="F7" s="12" t="n">
        <f aca="false">COUNTIFS(주차별배정!$A$3:$A$156,A7,주차별배정!$Q$3:$Q$156,"&lt;&gt;")</f>
        <v>0</v>
      </c>
      <c r="G7" s="13" t="str">
        <f aca="false">IF(C7=0,"-",D7/C7)</f>
        <v>-</v>
      </c>
    </row>
    <row r="8" customFormat="false" ht="15" hidden="false" customHeight="false" outlineLevel="0" collapsed="false">
      <c r="A8" s="12" t="s">
        <v>232</v>
      </c>
      <c r="B8" s="12" t="n">
        <f aca="false">COUNTIF(주차별배정!$A$3:$A$156,A8)</f>
        <v>8</v>
      </c>
      <c r="C8" s="12" t="n">
        <f aca="false">COUNTIFS(주차별배정!$A$3:$A$156,A8,주차별배정!$O$3:$O$156,"&lt;&gt;")</f>
        <v>0</v>
      </c>
      <c r="D8" s="12" t="n">
        <f aca="false">COUNTIFS(주차별배정!$A$3:$A$156,A8,주차별배정!$P$3:$P$156,"O")</f>
        <v>0</v>
      </c>
      <c r="E8" s="12" t="n">
        <f aca="false">COUNTIFS(주차별배정!$A$3:$A$156,A8,주차별배정!$P$3:$P$156,"반려")</f>
        <v>0</v>
      </c>
      <c r="F8" s="12" t="n">
        <f aca="false">COUNTIFS(주차별배정!$A$3:$A$156,A8,주차별배정!$Q$3:$Q$156,"&lt;&gt;")</f>
        <v>0</v>
      </c>
      <c r="G8" s="13" t="str">
        <f aca="false">IF(C8=0,"-",D8/C8)</f>
        <v>-</v>
      </c>
    </row>
    <row r="9" customFormat="false" ht="15" hidden="false" customHeight="false" outlineLevel="0" collapsed="false">
      <c r="A9" s="12" t="s">
        <v>265</v>
      </c>
      <c r="B9" s="12" t="n">
        <f aca="false">COUNTIF(주차별배정!$A$3:$A$156,A9)</f>
        <v>8</v>
      </c>
      <c r="C9" s="12" t="n">
        <f aca="false">COUNTIFS(주차별배정!$A$3:$A$156,A9,주차별배정!$O$3:$O$156,"&lt;&gt;")</f>
        <v>0</v>
      </c>
      <c r="D9" s="12" t="n">
        <f aca="false">COUNTIFS(주차별배정!$A$3:$A$156,A9,주차별배정!$P$3:$P$156,"O")</f>
        <v>0</v>
      </c>
      <c r="E9" s="12" t="n">
        <f aca="false">COUNTIFS(주차별배정!$A$3:$A$156,A9,주차별배정!$P$3:$P$156,"반려")</f>
        <v>0</v>
      </c>
      <c r="F9" s="12" t="n">
        <f aca="false">COUNTIFS(주차별배정!$A$3:$A$156,A9,주차별배정!$Q$3:$Q$156,"&lt;&gt;")</f>
        <v>0</v>
      </c>
      <c r="G9" s="13" t="str">
        <f aca="false">IF(C9=0,"-",D9/C9)</f>
        <v>-</v>
      </c>
    </row>
    <row r="10" customFormat="false" ht="15" hidden="false" customHeight="false" outlineLevel="0" collapsed="false">
      <c r="A10" s="12" t="s">
        <v>294</v>
      </c>
      <c r="B10" s="12" t="n">
        <f aca="false">COUNTIF(주차별배정!$A$3:$A$156,A10)</f>
        <v>8</v>
      </c>
      <c r="C10" s="12" t="n">
        <f aca="false">COUNTIFS(주차별배정!$A$3:$A$156,A10,주차별배정!$O$3:$O$156,"&lt;&gt;")</f>
        <v>0</v>
      </c>
      <c r="D10" s="12" t="n">
        <f aca="false">COUNTIFS(주차별배정!$A$3:$A$156,A10,주차별배정!$P$3:$P$156,"O")</f>
        <v>0</v>
      </c>
      <c r="E10" s="12" t="n">
        <f aca="false">COUNTIFS(주차별배정!$A$3:$A$156,A10,주차별배정!$P$3:$P$156,"반려")</f>
        <v>0</v>
      </c>
      <c r="F10" s="12" t="n">
        <f aca="false">COUNTIFS(주차별배정!$A$3:$A$156,A10,주차별배정!$Q$3:$Q$156,"&lt;&gt;")</f>
        <v>0</v>
      </c>
      <c r="G10" s="13" t="str">
        <f aca="false">IF(C10=0,"-",D10/C10)</f>
        <v>-</v>
      </c>
    </row>
    <row r="11" customFormat="false" ht="15" hidden="false" customHeight="false" outlineLevel="0" collapsed="false">
      <c r="A11" s="12" t="s">
        <v>325</v>
      </c>
      <c r="B11" s="12" t="n">
        <f aca="false">COUNTIF(주차별배정!$A$3:$A$156,A11)</f>
        <v>8</v>
      </c>
      <c r="C11" s="12" t="n">
        <f aca="false">COUNTIFS(주차별배정!$A$3:$A$156,A11,주차별배정!$O$3:$O$156,"&lt;&gt;")</f>
        <v>0</v>
      </c>
      <c r="D11" s="12" t="n">
        <f aca="false">COUNTIFS(주차별배정!$A$3:$A$156,A11,주차별배정!$P$3:$P$156,"O")</f>
        <v>0</v>
      </c>
      <c r="E11" s="12" t="n">
        <f aca="false">COUNTIFS(주차별배정!$A$3:$A$156,A11,주차별배정!$P$3:$P$156,"반려")</f>
        <v>0</v>
      </c>
      <c r="F11" s="12" t="n">
        <f aca="false">COUNTIFS(주차별배정!$A$3:$A$156,A11,주차별배정!$Q$3:$Q$156,"&lt;&gt;")</f>
        <v>0</v>
      </c>
      <c r="G11" s="13" t="str">
        <f aca="false">IF(C11=0,"-",D11/C11)</f>
        <v>-</v>
      </c>
    </row>
    <row r="12" customFormat="false" ht="15" hidden="false" customHeight="false" outlineLevel="0" collapsed="false">
      <c r="A12" s="12" t="s">
        <v>357</v>
      </c>
      <c r="B12" s="12" t="n">
        <f aca="false">COUNTIF(주차별배정!$A$3:$A$156,A12)</f>
        <v>8</v>
      </c>
      <c r="C12" s="12" t="n">
        <f aca="false">COUNTIFS(주차별배정!$A$3:$A$156,A12,주차별배정!$O$3:$O$156,"&lt;&gt;")</f>
        <v>0</v>
      </c>
      <c r="D12" s="12" t="n">
        <f aca="false">COUNTIFS(주차별배정!$A$3:$A$156,A12,주차별배정!$P$3:$P$156,"O")</f>
        <v>0</v>
      </c>
      <c r="E12" s="12" t="n">
        <f aca="false">COUNTIFS(주차별배정!$A$3:$A$156,A12,주차별배정!$P$3:$P$156,"반려")</f>
        <v>0</v>
      </c>
      <c r="F12" s="12" t="n">
        <f aca="false">COUNTIFS(주차별배정!$A$3:$A$156,A12,주차별배정!$Q$3:$Q$156,"&lt;&gt;")</f>
        <v>0</v>
      </c>
      <c r="G12" s="13" t="str">
        <f aca="false">IF(C12=0,"-",D12/C12)</f>
        <v>-</v>
      </c>
    </row>
    <row r="13" customFormat="false" ht="15" hidden="false" customHeight="false" outlineLevel="0" collapsed="false">
      <c r="A13" s="12" t="s">
        <v>386</v>
      </c>
      <c r="B13" s="12" t="n">
        <f aca="false">COUNTIF(주차별배정!$A$3:$A$156,A13)</f>
        <v>8</v>
      </c>
      <c r="C13" s="12" t="n">
        <f aca="false">COUNTIFS(주차별배정!$A$3:$A$156,A13,주차별배정!$O$3:$O$156,"&lt;&gt;")</f>
        <v>0</v>
      </c>
      <c r="D13" s="12" t="n">
        <f aca="false">COUNTIFS(주차별배정!$A$3:$A$156,A13,주차별배정!$P$3:$P$156,"O")</f>
        <v>0</v>
      </c>
      <c r="E13" s="12" t="n">
        <f aca="false">COUNTIFS(주차별배정!$A$3:$A$156,A13,주차별배정!$P$3:$P$156,"반려")</f>
        <v>0</v>
      </c>
      <c r="F13" s="12" t="n">
        <f aca="false">COUNTIFS(주차별배정!$A$3:$A$156,A13,주차별배정!$Q$3:$Q$156,"&lt;&gt;")</f>
        <v>0</v>
      </c>
      <c r="G13" s="13" t="str">
        <f aca="false">IF(C13=0,"-",D13/C13)</f>
        <v>-</v>
      </c>
    </row>
    <row r="14" customFormat="false" ht="15" hidden="false" customHeight="false" outlineLevel="0" collapsed="false">
      <c r="A14" s="12" t="s">
        <v>416</v>
      </c>
      <c r="B14" s="12" t="n">
        <f aca="false">COUNTIF(주차별배정!$A$3:$A$156,A14)</f>
        <v>8</v>
      </c>
      <c r="C14" s="12" t="n">
        <f aca="false">COUNTIFS(주차별배정!$A$3:$A$156,A14,주차별배정!$O$3:$O$156,"&lt;&gt;")</f>
        <v>0</v>
      </c>
      <c r="D14" s="12" t="n">
        <f aca="false">COUNTIFS(주차별배정!$A$3:$A$156,A14,주차별배정!$P$3:$P$156,"O")</f>
        <v>0</v>
      </c>
      <c r="E14" s="12" t="n">
        <f aca="false">COUNTIFS(주차별배정!$A$3:$A$156,A14,주차별배정!$P$3:$P$156,"반려")</f>
        <v>0</v>
      </c>
      <c r="F14" s="12" t="n">
        <f aca="false">COUNTIFS(주차별배정!$A$3:$A$156,A14,주차별배정!$Q$3:$Q$156,"&lt;&gt;")</f>
        <v>0</v>
      </c>
      <c r="G14" s="13" t="str">
        <f aca="false">IF(C14=0,"-",D14/C14)</f>
        <v>-</v>
      </c>
    </row>
    <row r="15" customFormat="false" ht="15" hidden="false" customHeight="false" outlineLevel="0" collapsed="false">
      <c r="A15" s="12" t="s">
        <v>446</v>
      </c>
      <c r="B15" s="12" t="n">
        <f aca="false">COUNTIF(주차별배정!$A$3:$A$156,A15)</f>
        <v>8</v>
      </c>
      <c r="C15" s="12" t="n">
        <f aca="false">COUNTIFS(주차별배정!$A$3:$A$156,A15,주차별배정!$O$3:$O$156,"&lt;&gt;")</f>
        <v>0</v>
      </c>
      <c r="D15" s="12" t="n">
        <f aca="false">COUNTIFS(주차별배정!$A$3:$A$156,A15,주차별배정!$P$3:$P$156,"O")</f>
        <v>0</v>
      </c>
      <c r="E15" s="12" t="n">
        <f aca="false">COUNTIFS(주차별배정!$A$3:$A$156,A15,주차별배정!$P$3:$P$156,"반려")</f>
        <v>0</v>
      </c>
      <c r="F15" s="12" t="n">
        <f aca="false">COUNTIFS(주차별배정!$A$3:$A$156,A15,주차별배정!$Q$3:$Q$156,"&lt;&gt;")</f>
        <v>0</v>
      </c>
      <c r="G15" s="13" t="str">
        <f aca="false">IF(C15=0,"-",D15/C15)</f>
        <v>-</v>
      </c>
    </row>
    <row r="16" customFormat="false" ht="15" hidden="false" customHeight="false" outlineLevel="0" collapsed="false">
      <c r="A16" s="12" t="s">
        <v>475</v>
      </c>
      <c r="B16" s="12" t="n">
        <f aca="false">COUNTIF(주차별배정!$A$3:$A$156,A16)</f>
        <v>8</v>
      </c>
      <c r="C16" s="12" t="n">
        <f aca="false">COUNTIFS(주차별배정!$A$3:$A$156,A16,주차별배정!$O$3:$O$156,"&lt;&gt;")</f>
        <v>0</v>
      </c>
      <c r="D16" s="12" t="n">
        <f aca="false">COUNTIFS(주차별배정!$A$3:$A$156,A16,주차별배정!$P$3:$P$156,"O")</f>
        <v>0</v>
      </c>
      <c r="E16" s="12" t="n">
        <f aca="false">COUNTIFS(주차별배정!$A$3:$A$156,A16,주차별배정!$P$3:$P$156,"반려")</f>
        <v>0</v>
      </c>
      <c r="F16" s="12" t="n">
        <f aca="false">COUNTIFS(주차별배정!$A$3:$A$156,A16,주차별배정!$Q$3:$Q$156,"&lt;&gt;")</f>
        <v>0</v>
      </c>
      <c r="G16" s="13" t="str">
        <f aca="false">IF(C16=0,"-",D16/C16)</f>
        <v>-</v>
      </c>
    </row>
    <row r="17" customFormat="false" ht="15" hidden="false" customHeight="false" outlineLevel="0" collapsed="false">
      <c r="A17" s="12" t="s">
        <v>504</v>
      </c>
      <c r="B17" s="12" t="n">
        <f aca="false">COUNTIF(주차별배정!$A$3:$A$156,A17)</f>
        <v>8</v>
      </c>
      <c r="C17" s="12" t="n">
        <f aca="false">COUNTIFS(주차별배정!$A$3:$A$156,A17,주차별배정!$O$3:$O$156,"&lt;&gt;")</f>
        <v>0</v>
      </c>
      <c r="D17" s="12" t="n">
        <f aca="false">COUNTIFS(주차별배정!$A$3:$A$156,A17,주차별배정!$P$3:$P$156,"O")</f>
        <v>0</v>
      </c>
      <c r="E17" s="12" t="n">
        <f aca="false">COUNTIFS(주차별배정!$A$3:$A$156,A17,주차별배정!$P$3:$P$156,"반려")</f>
        <v>0</v>
      </c>
      <c r="F17" s="12" t="n">
        <f aca="false">COUNTIFS(주차별배정!$A$3:$A$156,A17,주차별배정!$Q$3:$Q$156,"&lt;&gt;")</f>
        <v>0</v>
      </c>
      <c r="G17" s="13" t="str">
        <f aca="false">IF(C17=0,"-",D17/C17)</f>
        <v>-</v>
      </c>
    </row>
    <row r="18" customFormat="false" ht="15" hidden="false" customHeight="false" outlineLevel="0" collapsed="false">
      <c r="A18" s="12" t="s">
        <v>536</v>
      </c>
      <c r="B18" s="12" t="n">
        <f aca="false">COUNTIF(주차별배정!$A$3:$A$156,A18)</f>
        <v>8</v>
      </c>
      <c r="C18" s="12" t="n">
        <f aca="false">COUNTIFS(주차별배정!$A$3:$A$156,A18,주차별배정!$O$3:$O$156,"&lt;&gt;")</f>
        <v>0</v>
      </c>
      <c r="D18" s="12" t="n">
        <f aca="false">COUNTIFS(주차별배정!$A$3:$A$156,A18,주차별배정!$P$3:$P$156,"O")</f>
        <v>0</v>
      </c>
      <c r="E18" s="12" t="n">
        <f aca="false">COUNTIFS(주차별배정!$A$3:$A$156,A18,주차별배정!$P$3:$P$156,"반려")</f>
        <v>0</v>
      </c>
      <c r="F18" s="12" t="n">
        <f aca="false">COUNTIFS(주차별배정!$A$3:$A$156,A18,주차별배정!$Q$3:$Q$156,"&lt;&gt;")</f>
        <v>0</v>
      </c>
      <c r="G18" s="13" t="str">
        <f aca="false">IF(C18=0,"-",D18/C18)</f>
        <v>-</v>
      </c>
    </row>
    <row r="19" customFormat="false" ht="15" hidden="false" customHeight="false" outlineLevel="0" collapsed="false">
      <c r="A19" s="12" t="s">
        <v>570</v>
      </c>
      <c r="B19" s="12" t="n">
        <f aca="false">COUNTIF(주차별배정!$A$3:$A$156,A19)</f>
        <v>8</v>
      </c>
      <c r="C19" s="12" t="n">
        <f aca="false">COUNTIFS(주차별배정!$A$3:$A$156,A19,주차별배정!$O$3:$O$156,"&lt;&gt;")</f>
        <v>0</v>
      </c>
      <c r="D19" s="12" t="n">
        <f aca="false">COUNTIFS(주차별배정!$A$3:$A$156,A19,주차별배정!$P$3:$P$156,"O")</f>
        <v>0</v>
      </c>
      <c r="E19" s="12" t="n">
        <f aca="false">COUNTIFS(주차별배정!$A$3:$A$156,A19,주차별배정!$P$3:$P$156,"반려")</f>
        <v>0</v>
      </c>
      <c r="F19" s="12" t="n">
        <f aca="false">COUNTIFS(주차별배정!$A$3:$A$156,A19,주차별배정!$Q$3:$Q$156,"&lt;&gt;")</f>
        <v>0</v>
      </c>
      <c r="G19" s="13" t="str">
        <f aca="false">IF(C19=0,"-",D19/C19)</f>
        <v>-</v>
      </c>
    </row>
    <row r="20" customFormat="false" ht="15" hidden="false" customHeight="false" outlineLevel="0" collapsed="false">
      <c r="A20" s="12" t="s">
        <v>600</v>
      </c>
      <c r="B20" s="12" t="n">
        <f aca="false">COUNTIF(주차별배정!$A$3:$A$156,A20)</f>
        <v>8</v>
      </c>
      <c r="C20" s="12" t="n">
        <f aca="false">COUNTIFS(주차별배정!$A$3:$A$156,A20,주차별배정!$O$3:$O$156,"&lt;&gt;")</f>
        <v>0</v>
      </c>
      <c r="D20" s="12" t="n">
        <f aca="false">COUNTIFS(주차별배정!$A$3:$A$156,A20,주차별배정!$P$3:$P$156,"O")</f>
        <v>0</v>
      </c>
      <c r="E20" s="12" t="n">
        <f aca="false">COUNTIFS(주차별배정!$A$3:$A$156,A20,주차별배정!$P$3:$P$156,"반려")</f>
        <v>0</v>
      </c>
      <c r="F20" s="12" t="n">
        <f aca="false">COUNTIFS(주차별배정!$A$3:$A$156,A20,주차별배정!$Q$3:$Q$156,"&lt;&gt;")</f>
        <v>0</v>
      </c>
      <c r="G20" s="13" t="str">
        <f aca="false">IF(C20=0,"-",D20/C20)</f>
        <v>-</v>
      </c>
    </row>
    <row r="21" customFormat="false" ht="15" hidden="false" customHeight="false" outlineLevel="0" collapsed="false">
      <c r="A21" s="12" t="s">
        <v>631</v>
      </c>
      <c r="B21" s="12" t="n">
        <f aca="false">COUNTIF(주차별배정!$A$3:$A$156,A21)</f>
        <v>2</v>
      </c>
      <c r="C21" s="12" t="n">
        <f aca="false">COUNTIFS(주차별배정!$A$3:$A$156,A21,주차별배정!$O$3:$O$156,"&lt;&gt;")</f>
        <v>0</v>
      </c>
      <c r="D21" s="12" t="n">
        <f aca="false">COUNTIFS(주차별배정!$A$3:$A$156,A21,주차별배정!$P$3:$P$156,"O")</f>
        <v>0</v>
      </c>
      <c r="E21" s="12" t="n">
        <f aca="false">COUNTIFS(주차별배정!$A$3:$A$156,A21,주차별배정!$P$3:$P$156,"반려")</f>
        <v>0</v>
      </c>
      <c r="F21" s="12" t="n">
        <f aca="false">COUNTIFS(주차별배정!$A$3:$A$156,A21,주차별배정!$Q$3:$Q$156,"&lt;&gt;")</f>
        <v>0</v>
      </c>
      <c r="G21" s="13" t="str">
        <f aca="false">IF(C21=0,"-",D21/C21)</f>
        <v>-</v>
      </c>
    </row>
    <row r="22" customFormat="false" ht="15" hidden="false" customHeight="false" outlineLevel="0" collapsed="false">
      <c r="A22" s="14" t="s">
        <v>853</v>
      </c>
      <c r="B22" s="14" t="n">
        <f aca="false">SUM(B2:B21)</f>
        <v>154</v>
      </c>
      <c r="C22" s="14" t="n">
        <f aca="false">SUM(C2:C21)</f>
        <v>0</v>
      </c>
      <c r="D22" s="14" t="n">
        <f aca="false">SUM(D2:D21)</f>
        <v>0</v>
      </c>
      <c r="E22" s="14" t="n">
        <f aca="false">SUM(E2:E21)</f>
        <v>0</v>
      </c>
      <c r="F22" s="14" t="n">
        <f aca="false">SUM(F2:F21)</f>
        <v>0</v>
      </c>
      <c r="G22" s="15" t="str">
        <f aca="false">IF(C22=0,"-",D22/C22)</f>
        <v>-</v>
      </c>
    </row>
    <row r="24" customFormat="false" ht="15" hidden="false" customHeight="false" outlineLevel="0" collapsed="false">
      <c r="A24" s="16" t="s">
        <v>854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5" min="4" style="0" width="12"/>
    <col collapsed="false" customWidth="true" hidden="false" outlineLevel="0" max="6" min="6" style="0" width="9"/>
    <col collapsed="false" customWidth="true" hidden="false" outlineLevel="0" max="9" min="7" style="0" width="7"/>
  </cols>
  <sheetData>
    <row r="1" customFormat="false" ht="19.4" hidden="false" customHeight="false" outlineLevel="0" collapsed="false">
      <c r="A1" s="1" t="s">
        <v>855</v>
      </c>
    </row>
    <row r="3" customFormat="false" ht="15" hidden="false" customHeight="false" outlineLevel="0" collapsed="false">
      <c r="A3" s="5" t="s">
        <v>856</v>
      </c>
      <c r="B3" s="5" t="s">
        <v>857</v>
      </c>
      <c r="C3" s="5" t="s">
        <v>858</v>
      </c>
    </row>
    <row r="4" customFormat="false" ht="15" hidden="false" customHeight="false" outlineLevel="0" collapsed="false">
      <c r="A4" s="12" t="s">
        <v>69</v>
      </c>
      <c r="B4" s="17" t="s">
        <v>859</v>
      </c>
      <c r="C4" s="17" t="s">
        <v>860</v>
      </c>
    </row>
    <row r="5" customFormat="false" ht="15" hidden="false" customHeight="false" outlineLevel="0" collapsed="false">
      <c r="A5" s="12" t="s">
        <v>62</v>
      </c>
      <c r="B5" s="17" t="s">
        <v>861</v>
      </c>
      <c r="C5" s="17" t="s">
        <v>862</v>
      </c>
    </row>
    <row r="6" customFormat="false" ht="15" hidden="false" customHeight="false" outlineLevel="0" collapsed="false">
      <c r="A6" s="12" t="s">
        <v>863</v>
      </c>
      <c r="B6" s="17" t="s">
        <v>864</v>
      </c>
      <c r="C6" s="12" t="s">
        <v>865</v>
      </c>
    </row>
    <row r="7" customFormat="false" ht="15" hidden="false" customHeight="false" outlineLevel="0" collapsed="false">
      <c r="A7" s="12" t="s">
        <v>866</v>
      </c>
      <c r="B7" s="17" t="s">
        <v>867</v>
      </c>
      <c r="C7" s="17" t="s">
        <v>868</v>
      </c>
    </row>
    <row r="8" customFormat="false" ht="15" hidden="false" customHeight="false" outlineLevel="0" collapsed="false">
      <c r="A8" s="12" t="s">
        <v>869</v>
      </c>
      <c r="B8" s="17" t="s">
        <v>870</v>
      </c>
      <c r="C8" s="12" t="s">
        <v>871</v>
      </c>
    </row>
    <row r="9" customFormat="false" ht="15" hidden="false" customHeight="false" outlineLevel="0" collapsed="false">
      <c r="A9" s="12" t="s">
        <v>53</v>
      </c>
      <c r="B9" s="17" t="s">
        <v>872</v>
      </c>
      <c r="C9" s="17"/>
    </row>
    <row r="10" customFormat="false" ht="15" hidden="false" customHeight="false" outlineLevel="0" collapsed="false">
      <c r="A10" s="12" t="s">
        <v>111</v>
      </c>
      <c r="B10" s="17" t="s">
        <v>873</v>
      </c>
      <c r="C10" s="17"/>
    </row>
    <row r="11" customFormat="false" ht="15" hidden="false" customHeight="false" outlineLevel="0" collapsed="false">
      <c r="A11" s="12" t="s">
        <v>39</v>
      </c>
      <c r="B11" s="17" t="s">
        <v>874</v>
      </c>
      <c r="C11" s="17"/>
    </row>
    <row r="12" customFormat="false" ht="15" hidden="false" customHeight="false" outlineLevel="0" collapsed="false">
      <c r="A12" s="17" t="s">
        <v>26</v>
      </c>
      <c r="B12" s="12" t="s">
        <v>875</v>
      </c>
      <c r="C12" s="12" t="s">
        <v>876</v>
      </c>
    </row>
    <row r="14" customFormat="false" ht="15" hidden="false" customHeight="false" outlineLevel="0" collapsed="false">
      <c r="A14" s="3" t="s">
        <v>877</v>
      </c>
    </row>
    <row r="15" customFormat="false" ht="15" hidden="false" customHeight="false" outlineLevel="0" collapsed="false">
      <c r="A15" s="5" t="s">
        <v>24</v>
      </c>
      <c r="B15" s="4" t="s">
        <v>878</v>
      </c>
      <c r="C15" s="5" t="s">
        <v>879</v>
      </c>
      <c r="D15" s="5" t="s">
        <v>247</v>
      </c>
      <c r="E15" s="5" t="s">
        <v>880</v>
      </c>
      <c r="F15" s="5" t="s">
        <v>853</v>
      </c>
      <c r="G15" s="4" t="s">
        <v>656</v>
      </c>
      <c r="H15" s="4" t="s">
        <v>677</v>
      </c>
      <c r="I15" s="4" t="s">
        <v>648</v>
      </c>
    </row>
    <row r="16" customFormat="false" ht="15" hidden="false" customHeight="false" outlineLevel="0" collapsed="false">
      <c r="A16" s="12" t="s">
        <v>69</v>
      </c>
      <c r="B16" s="17" t="n">
        <f aca="false">COUNTIFS(종합148!$I$2:$I$149,$A16,종합148!$K$2:$K$149,B$15&amp;"*")</f>
        <v>7</v>
      </c>
      <c r="C16" s="17" t="n">
        <f aca="false">COUNTIFS(종합148!$I$2:$I$149,$A16,종합148!$K$2:$K$149,C$15&amp;"*")</f>
        <v>16</v>
      </c>
      <c r="D16" s="17" t="n">
        <f aca="false">COUNTIFS(종합148!$I$2:$I$149,$A16,종합148!$K$2:$K$149,D$15&amp;"*")</f>
        <v>1</v>
      </c>
      <c r="E16" s="17" t="n">
        <f aca="false">COUNTIFS(종합148!$I$2:$I$149,$A16,종합148!$K$2:$K$149,E$15&amp;"*")</f>
        <v>1</v>
      </c>
      <c r="F16" s="17" t="n">
        <f aca="false">SUM(B16:E16)</f>
        <v>25</v>
      </c>
      <c r="G16" s="17" t="n">
        <f aca="false">COUNTIFS(종합148!$I$2:$I$149,$A16,종합148!$J$2:$J$149,"F1*")</f>
        <v>4</v>
      </c>
      <c r="H16" s="17" t="n">
        <f aca="false">COUNTIFS(종합148!$I$2:$I$149,$A16,종합148!$J$2:$J$149,"F2*")</f>
        <v>0</v>
      </c>
      <c r="I16" s="17" t="n">
        <f aca="false">COUNTIFS(종합148!$I$2:$I$149,$A16,종합148!$J$2:$J$149,"F3*")</f>
        <v>21</v>
      </c>
    </row>
    <row r="17" customFormat="false" ht="15" hidden="false" customHeight="false" outlineLevel="0" collapsed="false">
      <c r="A17" s="12" t="s">
        <v>62</v>
      </c>
      <c r="B17" s="17" t="n">
        <f aca="false">COUNTIFS(종합148!$I$2:$I$149,$A17,종합148!$K$2:$K$149,B$15&amp;"*")</f>
        <v>4</v>
      </c>
      <c r="C17" s="17" t="n">
        <f aca="false">COUNTIFS(종합148!$I$2:$I$149,$A17,종합148!$K$2:$K$149,C$15&amp;"*")</f>
        <v>10</v>
      </c>
      <c r="D17" s="17" t="n">
        <f aca="false">COUNTIFS(종합148!$I$2:$I$149,$A17,종합148!$K$2:$K$149,D$15&amp;"*")</f>
        <v>2</v>
      </c>
      <c r="E17" s="17" t="n">
        <f aca="false">COUNTIFS(종합148!$I$2:$I$149,$A17,종합148!$K$2:$K$149,E$15&amp;"*")</f>
        <v>0</v>
      </c>
      <c r="F17" s="17" t="n">
        <f aca="false">SUM(B17:E17)</f>
        <v>16</v>
      </c>
      <c r="G17" s="17" t="n">
        <f aca="false">COUNTIFS(종합148!$I$2:$I$149,$A17,종합148!$J$2:$J$149,"F1*")</f>
        <v>7</v>
      </c>
      <c r="H17" s="17" t="n">
        <f aca="false">COUNTIFS(종합148!$I$2:$I$149,$A17,종합148!$J$2:$J$149,"F2*")</f>
        <v>3</v>
      </c>
      <c r="I17" s="17" t="n">
        <f aca="false">COUNTIFS(종합148!$I$2:$I$149,$A17,종합148!$J$2:$J$149,"F3*")</f>
        <v>6</v>
      </c>
    </row>
    <row r="18" customFormat="false" ht="15" hidden="false" customHeight="false" outlineLevel="0" collapsed="false">
      <c r="A18" s="12" t="s">
        <v>52</v>
      </c>
      <c r="B18" s="17" t="n">
        <f aca="false">COUNTIFS(종합148!$I$2:$I$149,$A18,종합148!$K$2:$K$149,B$15&amp;"*")</f>
        <v>20</v>
      </c>
      <c r="C18" s="17" t="n">
        <f aca="false">COUNTIFS(종합148!$I$2:$I$149,$A18,종합148!$K$2:$K$149,C$15&amp;"*")</f>
        <v>18</v>
      </c>
      <c r="D18" s="17" t="n">
        <f aca="false">COUNTIFS(종합148!$I$2:$I$149,$A18,종합148!$K$2:$K$149,D$15&amp;"*")</f>
        <v>1</v>
      </c>
      <c r="E18" s="17" t="n">
        <f aca="false">COUNTIFS(종합148!$I$2:$I$149,$A18,종합148!$K$2:$K$149,E$15&amp;"*")</f>
        <v>0</v>
      </c>
      <c r="F18" s="17" t="n">
        <f aca="false">SUM(B18:E18)</f>
        <v>39</v>
      </c>
      <c r="G18" s="17" t="n">
        <f aca="false">COUNTIFS(종합148!$I$2:$I$149,$A18,종합148!$J$2:$J$149,"F1*")</f>
        <v>13</v>
      </c>
      <c r="H18" s="17" t="n">
        <f aca="false">COUNTIFS(종합148!$I$2:$I$149,$A18,종합148!$J$2:$J$149,"F2*")</f>
        <v>17</v>
      </c>
      <c r="I18" s="17" t="n">
        <f aca="false">COUNTIFS(종합148!$I$2:$I$149,$A18,종합148!$J$2:$J$149,"F3*")</f>
        <v>9</v>
      </c>
    </row>
    <row r="19" customFormat="false" ht="15" hidden="false" customHeight="false" outlineLevel="0" collapsed="false">
      <c r="A19" s="12" t="s">
        <v>38</v>
      </c>
      <c r="B19" s="17" t="n">
        <f aca="false">COUNTIFS(종합148!$I$2:$I$149,$A19,종합148!$K$2:$K$149,B$15&amp;"*")</f>
        <v>15</v>
      </c>
      <c r="C19" s="17" t="n">
        <f aca="false">COUNTIFS(종합148!$I$2:$I$149,$A19,종합148!$K$2:$K$149,C$15&amp;"*")</f>
        <v>35</v>
      </c>
      <c r="D19" s="17" t="n">
        <f aca="false">COUNTIFS(종합148!$I$2:$I$149,$A19,종합148!$K$2:$K$149,D$15&amp;"*")</f>
        <v>0</v>
      </c>
      <c r="E19" s="17" t="n">
        <f aca="false">COUNTIFS(종합148!$I$2:$I$149,$A19,종합148!$K$2:$K$149,E$15&amp;"*")</f>
        <v>2</v>
      </c>
      <c r="F19" s="17" t="n">
        <f aca="false">SUM(B19:E19)</f>
        <v>52</v>
      </c>
      <c r="G19" s="17" t="n">
        <f aca="false">COUNTIFS(종합148!$I$2:$I$149,$A19,종합148!$J$2:$J$149,"F1*")</f>
        <v>6</v>
      </c>
      <c r="H19" s="17" t="n">
        <f aca="false">COUNTIFS(종합148!$I$2:$I$149,$A19,종합148!$J$2:$J$149,"F2*")</f>
        <v>6</v>
      </c>
      <c r="I19" s="17" t="n">
        <f aca="false">COUNTIFS(종합148!$I$2:$I$149,$A19,종합148!$J$2:$J$149,"F3*")</f>
        <v>40</v>
      </c>
    </row>
    <row r="20" customFormat="false" ht="15" hidden="false" customHeight="false" outlineLevel="0" collapsed="false">
      <c r="A20" s="12" t="s">
        <v>189</v>
      </c>
      <c r="B20" s="17" t="n">
        <f aca="false">COUNTIFS(종합148!$I$2:$I$149,$A20,종합148!$K$2:$K$149,B$15&amp;"*")</f>
        <v>7</v>
      </c>
      <c r="C20" s="17" t="n">
        <f aca="false">COUNTIFS(종합148!$I$2:$I$149,$A20,종합148!$K$2:$K$149,C$15&amp;"*")</f>
        <v>8</v>
      </c>
      <c r="D20" s="17" t="n">
        <f aca="false">COUNTIFS(종합148!$I$2:$I$149,$A20,종합148!$K$2:$K$149,D$15&amp;"*")</f>
        <v>0</v>
      </c>
      <c r="E20" s="17" t="n">
        <f aca="false">COUNTIFS(종합148!$I$2:$I$149,$A20,종합148!$K$2:$K$149,E$15&amp;"*")</f>
        <v>1</v>
      </c>
      <c r="F20" s="17" t="n">
        <f aca="false">SUM(B20:E20)</f>
        <v>16</v>
      </c>
      <c r="G20" s="17" t="n">
        <f aca="false">COUNTIFS(종합148!$I$2:$I$149,$A20,종합148!$J$2:$J$149,"F1*")</f>
        <v>9</v>
      </c>
      <c r="H20" s="17" t="n">
        <f aca="false">COUNTIFS(종합148!$I$2:$I$149,$A20,종합148!$J$2:$J$149,"F2*")</f>
        <v>0</v>
      </c>
      <c r="I20" s="17" t="n">
        <f aca="false">COUNTIFS(종합148!$I$2:$I$149,$A20,종합148!$J$2:$J$149,"F3*")</f>
        <v>7</v>
      </c>
    </row>
    <row r="21" customFormat="false" ht="15" hidden="false" customHeight="false" outlineLevel="0" collapsed="false">
      <c r="A21" s="14" t="s">
        <v>853</v>
      </c>
      <c r="B21" s="14" t="n">
        <f aca="false">SUM(B16:B20)</f>
        <v>53</v>
      </c>
      <c r="C21" s="14" t="n">
        <f aca="false">SUM(C16:C20)</f>
        <v>87</v>
      </c>
      <c r="D21" s="14" t="n">
        <f aca="false">SUM(D16:D20)</f>
        <v>4</v>
      </c>
      <c r="E21" s="14" t="n">
        <f aca="false">SUM(E16:E20)</f>
        <v>4</v>
      </c>
      <c r="F21" s="14" t="n">
        <f aca="false">SUM(F16:F20)</f>
        <v>148</v>
      </c>
      <c r="G21" s="14" t="n">
        <f aca="false">SUM(G16:G20)</f>
        <v>39</v>
      </c>
      <c r="H21" s="14" t="n">
        <f aca="false">SUM(H16:H20)</f>
        <v>26</v>
      </c>
      <c r="I21" s="14" t="n">
        <f aca="false">SUM(I16:I20)</f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60"/>
  </cols>
  <sheetData>
    <row r="1" customFormat="false" ht="19.4" hidden="false" customHeight="false" outlineLevel="0" collapsed="false">
      <c r="A1" s="18" t="s">
        <v>881</v>
      </c>
    </row>
    <row r="3" customFormat="false" ht="15" hidden="false" customHeight="false" outlineLevel="0" collapsed="false">
      <c r="A3" s="5" t="s">
        <v>24</v>
      </c>
      <c r="B3" s="5" t="s">
        <v>882</v>
      </c>
      <c r="C3" s="5" t="s">
        <v>883</v>
      </c>
    </row>
    <row r="4" customFormat="false" ht="15" hidden="false" customHeight="false" outlineLevel="0" collapsed="false">
      <c r="A4" s="17" t="s">
        <v>884</v>
      </c>
      <c r="B4" s="19" t="n">
        <v>4351</v>
      </c>
      <c r="C4" s="17" t="s">
        <v>885</v>
      </c>
    </row>
    <row r="5" customFormat="false" ht="15" hidden="false" customHeight="false" outlineLevel="0" collapsed="false">
      <c r="A5" s="17" t="s">
        <v>886</v>
      </c>
      <c r="B5" s="19" t="n">
        <v>16800</v>
      </c>
      <c r="C5" s="12" t="s">
        <v>887</v>
      </c>
    </row>
    <row r="6" customFormat="false" ht="15" hidden="false" customHeight="false" outlineLevel="0" collapsed="false">
      <c r="A6" s="17" t="s">
        <v>888</v>
      </c>
      <c r="B6" s="19" t="n">
        <v>26581</v>
      </c>
      <c r="C6" s="12" t="s">
        <v>889</v>
      </c>
    </row>
    <row r="7" customFormat="false" ht="15" hidden="false" customHeight="false" outlineLevel="0" collapsed="false">
      <c r="A7" s="17" t="s">
        <v>890</v>
      </c>
      <c r="B7" s="19" t="n">
        <v>876</v>
      </c>
      <c r="C7" s="17" t="s">
        <v>891</v>
      </c>
    </row>
    <row r="8" customFormat="false" ht="15" hidden="false" customHeight="false" outlineLevel="0" collapsed="false">
      <c r="A8" s="17" t="s">
        <v>892</v>
      </c>
      <c r="B8" s="19" t="n">
        <v>3398</v>
      </c>
      <c r="C8" s="17" t="s">
        <v>893</v>
      </c>
    </row>
    <row r="9" customFormat="false" ht="15" hidden="false" customHeight="false" outlineLevel="0" collapsed="false">
      <c r="A9" s="14" t="s">
        <v>894</v>
      </c>
      <c r="B9" s="20" t="n">
        <f aca="false">SUM(B4:B8)</f>
        <v>52006</v>
      </c>
      <c r="C9" s="14" t="s">
        <v>895</v>
      </c>
    </row>
    <row r="10" customFormat="false" ht="15" hidden="false" customHeight="false" outlineLevel="0" collapsed="false">
      <c r="A10" s="17" t="s">
        <v>896</v>
      </c>
      <c r="B10" s="19" t="n">
        <v>37104</v>
      </c>
      <c r="C10" s="12" t="s">
        <v>897</v>
      </c>
    </row>
    <row r="11" customFormat="false" ht="15" hidden="false" customHeight="false" outlineLevel="0" collapsed="false">
      <c r="A11" s="17" t="s">
        <v>898</v>
      </c>
      <c r="B11" s="19" t="n">
        <v>1400</v>
      </c>
      <c r="C11" s="17" t="s">
        <v>899</v>
      </c>
    </row>
    <row r="12" customFormat="false" ht="15" hidden="false" customHeight="false" outlineLevel="0" collapsed="false">
      <c r="A12" s="17" t="s">
        <v>900</v>
      </c>
      <c r="B12" s="19" t="n">
        <v>438</v>
      </c>
      <c r="C12" s="17" t="s">
        <v>901</v>
      </c>
    </row>
    <row r="13" customFormat="false" ht="15" hidden="false" customHeight="false" outlineLevel="0" collapsed="false">
      <c r="A13" s="17" t="s">
        <v>902</v>
      </c>
      <c r="B13" s="19" t="n">
        <v>37</v>
      </c>
      <c r="C13" s="17" t="s">
        <v>903</v>
      </c>
    </row>
    <row r="14" customFormat="false" ht="15" hidden="false" customHeight="false" outlineLevel="0" collapsed="false">
      <c r="A14" s="17" t="s">
        <v>904</v>
      </c>
      <c r="B14" s="19" t="n">
        <v>253</v>
      </c>
      <c r="C14" s="17" t="s">
        <v>905</v>
      </c>
    </row>
    <row r="15" customFormat="false" ht="15" hidden="false" customHeight="false" outlineLevel="0" collapsed="false">
      <c r="A15" s="14" t="s">
        <v>906</v>
      </c>
      <c r="B15" s="20" t="n">
        <v>148</v>
      </c>
      <c r="C15" s="14" t="s">
        <v>907</v>
      </c>
    </row>
    <row r="16" customFormat="false" ht="15" hidden="false" customHeight="false" outlineLevel="0" collapsed="false">
      <c r="A16" s="17" t="s">
        <v>908</v>
      </c>
      <c r="B16" s="19" t="n">
        <f aca="false">B13+B14+B15</f>
        <v>438</v>
      </c>
      <c r="C16" s="17" t="str">
        <f aca="false">IF(B16=B12,"438과 일치","불일치")</f>
        <v>438과 일치</v>
      </c>
    </row>
    <row r="17" customFormat="false" ht="15" hidden="false" customHeight="false" outlineLevel="0" collapsed="false">
      <c r="A17" s="17" t="s">
        <v>909</v>
      </c>
      <c r="B17" s="19"/>
      <c r="C17" s="17" t="s">
        <v>910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7"/>
    <col collapsed="false" customWidth="true" hidden="false" outlineLevel="0" max="4" min="4" style="0" width="70"/>
    <col collapsed="false" customWidth="true" hidden="false" outlineLevel="0" max="6" min="5" style="0" width="32"/>
    <col collapsed="false" customWidth="true" hidden="false" outlineLevel="0" max="7" min="7" style="0" width="8"/>
    <col collapsed="false" customWidth="true" hidden="false" outlineLevel="0" max="8" min="8" style="0" width="6"/>
  </cols>
  <sheetData>
    <row r="1" customFormat="false" ht="15" hidden="false" customHeight="false" outlineLevel="0" collapsed="false">
      <c r="A1" s="5" t="s">
        <v>911</v>
      </c>
      <c r="B1" s="4" t="s">
        <v>16</v>
      </c>
      <c r="C1" s="5" t="s">
        <v>20</v>
      </c>
      <c r="D1" s="5" t="s">
        <v>21</v>
      </c>
      <c r="E1" s="5" t="s">
        <v>22</v>
      </c>
      <c r="F1" s="4" t="s">
        <v>23</v>
      </c>
      <c r="G1" s="5" t="s">
        <v>912</v>
      </c>
      <c r="H1" s="5" t="s">
        <v>913</v>
      </c>
    </row>
    <row r="2" customFormat="false" ht="23.85" hidden="false" customHeight="false" outlineLevel="0" collapsed="false">
      <c r="A2" s="7" t="s">
        <v>914</v>
      </c>
      <c r="B2" s="6" t="s">
        <v>356</v>
      </c>
      <c r="C2" s="7" t="n">
        <v>1987</v>
      </c>
      <c r="D2" s="6" t="s">
        <v>358</v>
      </c>
      <c r="E2" s="6" t="s">
        <v>162</v>
      </c>
      <c r="F2" s="6" t="s">
        <v>759</v>
      </c>
      <c r="G2" s="6" t="s">
        <v>915</v>
      </c>
      <c r="H2" s="6" t="s">
        <v>916</v>
      </c>
    </row>
    <row r="3" customFormat="false" ht="15" hidden="false" customHeight="false" outlineLevel="0" collapsed="false">
      <c r="A3" s="7" t="s">
        <v>914</v>
      </c>
      <c r="B3" s="6" t="s">
        <v>159</v>
      </c>
      <c r="C3" s="7" t="n">
        <v>1988</v>
      </c>
      <c r="D3" s="6" t="s">
        <v>161</v>
      </c>
      <c r="E3" s="6" t="s">
        <v>162</v>
      </c>
      <c r="F3" s="6" t="s">
        <v>698</v>
      </c>
      <c r="G3" s="6" t="s">
        <v>917</v>
      </c>
      <c r="H3" s="6" t="s">
        <v>916</v>
      </c>
    </row>
    <row r="4" customFormat="false" ht="15" hidden="false" customHeight="false" outlineLevel="0" collapsed="false">
      <c r="A4" s="7" t="s">
        <v>914</v>
      </c>
      <c r="B4" s="6" t="s">
        <v>167</v>
      </c>
      <c r="C4" s="7" t="n">
        <v>1990</v>
      </c>
      <c r="D4" s="6" t="s">
        <v>168</v>
      </c>
      <c r="E4" s="6" t="s">
        <v>162</v>
      </c>
      <c r="F4" s="6" t="s">
        <v>699</v>
      </c>
      <c r="G4" s="6" t="s">
        <v>917</v>
      </c>
      <c r="H4" s="6" t="s">
        <v>916</v>
      </c>
    </row>
    <row r="5" customFormat="false" ht="23.85" hidden="false" customHeight="false" outlineLevel="0" collapsed="false">
      <c r="A5" s="7" t="s">
        <v>914</v>
      </c>
      <c r="B5" s="6" t="s">
        <v>195</v>
      </c>
      <c r="C5" s="7" t="n">
        <v>1994</v>
      </c>
      <c r="D5" s="6" t="s">
        <v>197</v>
      </c>
      <c r="E5" s="6" t="s">
        <v>198</v>
      </c>
      <c r="F5" s="6" t="s">
        <v>709</v>
      </c>
      <c r="G5" s="6" t="s">
        <v>917</v>
      </c>
      <c r="H5" s="6" t="s">
        <v>916</v>
      </c>
    </row>
    <row r="6" customFormat="false" ht="23.85" hidden="false" customHeight="false" outlineLevel="0" collapsed="false">
      <c r="A6" s="7" t="s">
        <v>914</v>
      </c>
      <c r="B6" s="6" t="s">
        <v>200</v>
      </c>
      <c r="C6" s="7" t="n">
        <v>2003</v>
      </c>
      <c r="D6" s="6" t="s">
        <v>201</v>
      </c>
      <c r="E6" s="6" t="s">
        <v>202</v>
      </c>
      <c r="F6" s="6" t="s">
        <v>710</v>
      </c>
      <c r="G6" s="6" t="s">
        <v>917</v>
      </c>
      <c r="H6" s="6" t="s">
        <v>916</v>
      </c>
    </row>
    <row r="7" customFormat="false" ht="15" hidden="false" customHeight="false" outlineLevel="0" collapsed="false">
      <c r="A7" s="7" t="s">
        <v>914</v>
      </c>
      <c r="B7" s="6" t="s">
        <v>205</v>
      </c>
      <c r="C7" s="7" t="n">
        <v>2006</v>
      </c>
      <c r="D7" s="6" t="s">
        <v>206</v>
      </c>
      <c r="E7" s="6" t="s">
        <v>162</v>
      </c>
      <c r="F7" s="6" t="s">
        <v>711</v>
      </c>
      <c r="G7" s="6" t="s">
        <v>917</v>
      </c>
      <c r="H7" s="6" t="s">
        <v>916</v>
      </c>
    </row>
    <row r="8" customFormat="false" ht="15" hidden="false" customHeight="false" outlineLevel="0" collapsed="false">
      <c r="A8" s="7" t="s">
        <v>914</v>
      </c>
      <c r="B8" s="6" t="s">
        <v>208</v>
      </c>
      <c r="C8" s="7" t="n">
        <v>2007</v>
      </c>
      <c r="D8" s="6" t="s">
        <v>209</v>
      </c>
      <c r="E8" s="6" t="s">
        <v>210</v>
      </c>
      <c r="F8" s="6" t="s">
        <v>712</v>
      </c>
      <c r="G8" s="6" t="s">
        <v>917</v>
      </c>
      <c r="H8" s="6" t="s">
        <v>916</v>
      </c>
    </row>
    <row r="9" customFormat="false" ht="23.85" hidden="false" customHeight="false" outlineLevel="0" collapsed="false">
      <c r="A9" s="7" t="s">
        <v>914</v>
      </c>
      <c r="B9" s="6" t="s">
        <v>231</v>
      </c>
      <c r="C9" s="7" t="n">
        <v>2009</v>
      </c>
      <c r="D9" s="6" t="s">
        <v>233</v>
      </c>
      <c r="E9" s="6" t="s">
        <v>210</v>
      </c>
      <c r="F9" s="6" t="s">
        <v>716</v>
      </c>
      <c r="G9" s="6" t="s">
        <v>917</v>
      </c>
      <c r="H9" s="6" t="s">
        <v>916</v>
      </c>
    </row>
    <row r="10" customFormat="false" ht="23.85" hidden="false" customHeight="false" outlineLevel="0" collapsed="false">
      <c r="A10" s="7" t="s">
        <v>914</v>
      </c>
      <c r="B10" s="6" t="s">
        <v>170</v>
      </c>
      <c r="C10" s="7" t="n">
        <v>2010</v>
      </c>
      <c r="D10" s="6" t="s">
        <v>171</v>
      </c>
      <c r="E10" s="6" t="s">
        <v>172</v>
      </c>
      <c r="F10" s="6" t="s">
        <v>700</v>
      </c>
      <c r="G10" s="6" t="s">
        <v>917</v>
      </c>
      <c r="H10" s="6" t="s">
        <v>916</v>
      </c>
    </row>
    <row r="11" customFormat="false" ht="23.85" hidden="false" customHeight="false" outlineLevel="0" collapsed="false">
      <c r="A11" s="7" t="s">
        <v>914</v>
      </c>
      <c r="B11" s="6" t="s">
        <v>264</v>
      </c>
      <c r="C11" s="7" t="n">
        <v>2011</v>
      </c>
      <c r="D11" s="6" t="s">
        <v>266</v>
      </c>
      <c r="E11" s="6" t="s">
        <v>267</v>
      </c>
      <c r="F11" s="6" t="s">
        <v>731</v>
      </c>
      <c r="G11" s="6" t="s">
        <v>915</v>
      </c>
      <c r="H11" s="6" t="s">
        <v>916</v>
      </c>
    </row>
    <row r="12" customFormat="false" ht="23.85" hidden="false" customHeight="false" outlineLevel="0" collapsed="false">
      <c r="A12" s="7" t="s">
        <v>914</v>
      </c>
      <c r="B12" s="6" t="s">
        <v>235</v>
      </c>
      <c r="C12" s="7" t="n">
        <v>2012</v>
      </c>
      <c r="D12" s="6" t="s">
        <v>236</v>
      </c>
      <c r="E12" s="6" t="s">
        <v>237</v>
      </c>
      <c r="F12" s="6" t="s">
        <v>717</v>
      </c>
      <c r="G12" s="6" t="s">
        <v>917</v>
      </c>
      <c r="H12" s="6" t="s">
        <v>916</v>
      </c>
    </row>
    <row r="13" customFormat="false" ht="15" hidden="false" customHeight="false" outlineLevel="0" collapsed="false">
      <c r="A13" s="7" t="s">
        <v>914</v>
      </c>
      <c r="B13" s="6" t="s">
        <v>174</v>
      </c>
      <c r="C13" s="7" t="n">
        <v>2012</v>
      </c>
      <c r="D13" s="6" t="s">
        <v>175</v>
      </c>
      <c r="E13" s="6" t="s">
        <v>176</v>
      </c>
      <c r="F13" s="6" t="s">
        <v>701</v>
      </c>
      <c r="G13" s="6" t="s">
        <v>915</v>
      </c>
      <c r="H13" s="6" t="s">
        <v>916</v>
      </c>
    </row>
    <row r="14" customFormat="false" ht="15" hidden="false" customHeight="false" outlineLevel="0" collapsed="false">
      <c r="A14" s="7" t="s">
        <v>914</v>
      </c>
      <c r="B14" s="6" t="s">
        <v>569</v>
      </c>
      <c r="C14" s="7" t="n">
        <v>2012</v>
      </c>
      <c r="D14" s="6" t="s">
        <v>571</v>
      </c>
      <c r="E14" s="6" t="s">
        <v>162</v>
      </c>
      <c r="F14" s="6" t="s">
        <v>826</v>
      </c>
      <c r="G14" s="6" t="s">
        <v>918</v>
      </c>
      <c r="H14" s="6" t="s">
        <v>916</v>
      </c>
    </row>
    <row r="15" customFormat="false" ht="23.85" hidden="false" customHeight="false" outlineLevel="0" collapsed="false">
      <c r="A15" s="7" t="s">
        <v>914</v>
      </c>
      <c r="B15" s="6" t="s">
        <v>178</v>
      </c>
      <c r="C15" s="7" t="n">
        <v>2012</v>
      </c>
      <c r="D15" s="6" t="s">
        <v>179</v>
      </c>
      <c r="E15" s="6" t="s">
        <v>180</v>
      </c>
      <c r="F15" s="6" t="s">
        <v>702</v>
      </c>
      <c r="G15" s="6" t="s">
        <v>917</v>
      </c>
      <c r="H15" s="6" t="s">
        <v>916</v>
      </c>
    </row>
    <row r="16" customFormat="false" ht="15" hidden="false" customHeight="false" outlineLevel="0" collapsed="false">
      <c r="A16" s="7" t="s">
        <v>914</v>
      </c>
      <c r="B16" s="6" t="s">
        <v>239</v>
      </c>
      <c r="C16" s="7" t="n">
        <v>2013</v>
      </c>
      <c r="D16" s="6" t="s">
        <v>240</v>
      </c>
      <c r="E16" s="6" t="s">
        <v>241</v>
      </c>
      <c r="F16" s="6" t="s">
        <v>715</v>
      </c>
      <c r="G16" s="6" t="s">
        <v>917</v>
      </c>
      <c r="H16" s="6" t="s">
        <v>916</v>
      </c>
    </row>
    <row r="17" customFormat="false" ht="15" hidden="false" customHeight="false" outlineLevel="0" collapsed="false">
      <c r="A17" s="7" t="s">
        <v>914</v>
      </c>
      <c r="B17" s="6" t="s">
        <v>243</v>
      </c>
      <c r="C17" s="7" t="n">
        <v>2013</v>
      </c>
      <c r="D17" s="6" t="s">
        <v>244</v>
      </c>
      <c r="E17" s="6" t="s">
        <v>245</v>
      </c>
      <c r="F17" s="6" t="s">
        <v>718</v>
      </c>
      <c r="G17" s="6" t="s">
        <v>917</v>
      </c>
      <c r="H17" s="6" t="s">
        <v>916</v>
      </c>
    </row>
    <row r="18" customFormat="false" ht="23.85" hidden="false" customHeight="false" outlineLevel="0" collapsed="false">
      <c r="A18" s="7" t="s">
        <v>914</v>
      </c>
      <c r="B18" s="6" t="s">
        <v>248</v>
      </c>
      <c r="C18" s="7" t="n">
        <v>2015</v>
      </c>
      <c r="D18" s="6" t="s">
        <v>249</v>
      </c>
      <c r="E18" s="6" t="s">
        <v>250</v>
      </c>
      <c r="F18" s="6" t="s">
        <v>719</v>
      </c>
      <c r="G18" s="6" t="s">
        <v>917</v>
      </c>
      <c r="H18" s="6" t="s">
        <v>916</v>
      </c>
    </row>
    <row r="19" customFormat="false" ht="23.85" hidden="false" customHeight="false" outlineLevel="0" collapsed="false">
      <c r="A19" s="7" t="s">
        <v>914</v>
      </c>
      <c r="B19" s="6" t="s">
        <v>252</v>
      </c>
      <c r="C19" s="7" t="n">
        <v>2015</v>
      </c>
      <c r="D19" s="6" t="s">
        <v>253</v>
      </c>
      <c r="E19" s="6" t="s">
        <v>254</v>
      </c>
      <c r="F19" s="6" t="s">
        <v>720</v>
      </c>
      <c r="G19" s="6" t="s">
        <v>917</v>
      </c>
      <c r="H19" s="6" t="s">
        <v>916</v>
      </c>
    </row>
    <row r="20" customFormat="false" ht="23.85" hidden="false" customHeight="false" outlineLevel="0" collapsed="false">
      <c r="A20" s="7" t="s">
        <v>914</v>
      </c>
      <c r="B20" s="6" t="s">
        <v>182</v>
      </c>
      <c r="C20" s="7" t="n">
        <v>2015</v>
      </c>
      <c r="D20" s="6" t="s">
        <v>183</v>
      </c>
      <c r="E20" s="6" t="s">
        <v>184</v>
      </c>
      <c r="F20" s="7"/>
      <c r="G20" s="6" t="s">
        <v>917</v>
      </c>
      <c r="H20" s="6" t="s">
        <v>916</v>
      </c>
    </row>
    <row r="21" customFormat="false" ht="23.85" hidden="false" customHeight="false" outlineLevel="0" collapsed="false">
      <c r="A21" s="7" t="s">
        <v>914</v>
      </c>
      <c r="B21" s="6" t="s">
        <v>257</v>
      </c>
      <c r="C21" s="7" t="n">
        <v>2015</v>
      </c>
      <c r="D21" s="6" t="s">
        <v>258</v>
      </c>
      <c r="E21" s="6" t="s">
        <v>259</v>
      </c>
      <c r="F21" s="6" t="s">
        <v>721</v>
      </c>
      <c r="G21" s="6" t="s">
        <v>917</v>
      </c>
      <c r="H21" s="6" t="s">
        <v>916</v>
      </c>
    </row>
    <row r="22" customFormat="false" ht="23.85" hidden="false" customHeight="false" outlineLevel="0" collapsed="false">
      <c r="A22" s="7" t="s">
        <v>914</v>
      </c>
      <c r="B22" s="6" t="s">
        <v>261</v>
      </c>
      <c r="C22" s="7" t="n">
        <v>2016</v>
      </c>
      <c r="D22" s="6" t="s">
        <v>262</v>
      </c>
      <c r="E22" s="6" t="s">
        <v>162</v>
      </c>
      <c r="F22" s="6" t="s">
        <v>722</v>
      </c>
      <c r="G22" s="6" t="s">
        <v>917</v>
      </c>
      <c r="H22" s="6" t="s">
        <v>916</v>
      </c>
    </row>
    <row r="23" customFormat="false" ht="15" hidden="false" customHeight="false" outlineLevel="0" collapsed="false">
      <c r="A23" s="7" t="s">
        <v>914</v>
      </c>
      <c r="B23" s="6" t="s">
        <v>269</v>
      </c>
      <c r="C23" s="7" t="n">
        <v>2016</v>
      </c>
      <c r="D23" s="6" t="s">
        <v>270</v>
      </c>
      <c r="E23" s="6" t="s">
        <v>245</v>
      </c>
      <c r="F23" s="6" t="s">
        <v>725</v>
      </c>
      <c r="G23" s="6" t="s">
        <v>917</v>
      </c>
      <c r="H23" s="6" t="s">
        <v>916</v>
      </c>
    </row>
    <row r="24" customFormat="false" ht="23.85" hidden="false" customHeight="false" outlineLevel="0" collapsed="false">
      <c r="A24" s="7" t="s">
        <v>914</v>
      </c>
      <c r="B24" s="6" t="s">
        <v>45</v>
      </c>
      <c r="C24" s="7" t="n">
        <v>2019</v>
      </c>
      <c r="D24" s="6" t="s">
        <v>49</v>
      </c>
      <c r="E24" s="6" t="s">
        <v>50</v>
      </c>
      <c r="F24" s="6" t="s">
        <v>657</v>
      </c>
      <c r="G24" s="6" t="s">
        <v>917</v>
      </c>
      <c r="H24" s="6" t="s">
        <v>916</v>
      </c>
    </row>
    <row r="25" customFormat="false" ht="15" hidden="false" customHeight="false" outlineLevel="0" collapsed="false">
      <c r="A25" s="7" t="s">
        <v>914</v>
      </c>
      <c r="B25" s="6" t="s">
        <v>385</v>
      </c>
      <c r="C25" s="7" t="n">
        <v>2019</v>
      </c>
      <c r="D25" s="6" t="s">
        <v>387</v>
      </c>
      <c r="E25" s="6" t="s">
        <v>210</v>
      </c>
      <c r="F25" s="6" t="s">
        <v>765</v>
      </c>
      <c r="G25" s="6" t="s">
        <v>915</v>
      </c>
      <c r="H25" s="6" t="s">
        <v>916</v>
      </c>
    </row>
    <row r="26" customFormat="false" ht="23.85" hidden="false" customHeight="false" outlineLevel="0" collapsed="false">
      <c r="A26" s="7" t="s">
        <v>914</v>
      </c>
      <c r="B26" s="6" t="s">
        <v>96</v>
      </c>
      <c r="C26" s="7" t="n">
        <v>2019</v>
      </c>
      <c r="D26" s="6" t="s">
        <v>98</v>
      </c>
      <c r="E26" s="6" t="s">
        <v>99</v>
      </c>
      <c r="F26" s="6" t="s">
        <v>675</v>
      </c>
      <c r="G26" s="6" t="s">
        <v>917</v>
      </c>
      <c r="H26" s="6" t="s">
        <v>916</v>
      </c>
    </row>
    <row r="27" customFormat="false" ht="15" hidden="false" customHeight="false" outlineLevel="0" collapsed="false">
      <c r="A27" s="7" t="s">
        <v>914</v>
      </c>
      <c r="B27" s="6" t="s">
        <v>293</v>
      </c>
      <c r="C27" s="7" t="n">
        <v>2019</v>
      </c>
      <c r="D27" s="6" t="s">
        <v>295</v>
      </c>
      <c r="E27" s="6" t="s">
        <v>296</v>
      </c>
      <c r="F27" s="6" t="s">
        <v>736</v>
      </c>
      <c r="G27" s="6" t="s">
        <v>917</v>
      </c>
      <c r="H27" s="6" t="s">
        <v>916</v>
      </c>
    </row>
    <row r="28" customFormat="false" ht="23.85" hidden="false" customHeight="false" outlineLevel="0" collapsed="false">
      <c r="A28" s="7" t="s">
        <v>914</v>
      </c>
      <c r="B28" s="6" t="s">
        <v>212</v>
      </c>
      <c r="C28" s="7" t="n">
        <v>2020</v>
      </c>
      <c r="D28" s="6" t="s">
        <v>213</v>
      </c>
      <c r="E28" s="6" t="s">
        <v>214</v>
      </c>
      <c r="F28" s="6" t="s">
        <v>706</v>
      </c>
      <c r="G28" s="6" t="s">
        <v>917</v>
      </c>
      <c r="H28" s="6" t="s">
        <v>916</v>
      </c>
    </row>
    <row r="29" customFormat="false" ht="23.85" hidden="false" customHeight="false" outlineLevel="0" collapsed="false">
      <c r="A29" s="7" t="s">
        <v>914</v>
      </c>
      <c r="B29" s="6" t="s">
        <v>217</v>
      </c>
      <c r="C29" s="7" t="n">
        <v>2020</v>
      </c>
      <c r="D29" s="6" t="s">
        <v>218</v>
      </c>
      <c r="E29" s="6" t="s">
        <v>219</v>
      </c>
      <c r="F29" s="6" t="s">
        <v>707</v>
      </c>
      <c r="G29" s="6" t="s">
        <v>917</v>
      </c>
      <c r="H29" s="6" t="s">
        <v>916</v>
      </c>
    </row>
    <row r="30" customFormat="false" ht="23.85" hidden="false" customHeight="false" outlineLevel="0" collapsed="false">
      <c r="A30" s="7" t="s">
        <v>914</v>
      </c>
      <c r="B30" s="6" t="s">
        <v>272</v>
      </c>
      <c r="C30" s="7" t="n">
        <v>2020</v>
      </c>
      <c r="D30" s="6" t="s">
        <v>273</v>
      </c>
      <c r="E30" s="6" t="s">
        <v>198</v>
      </c>
      <c r="F30" s="6" t="s">
        <v>726</v>
      </c>
      <c r="G30" s="6" t="s">
        <v>917</v>
      </c>
      <c r="H30" s="6" t="s">
        <v>916</v>
      </c>
    </row>
    <row r="31" customFormat="false" ht="23.85" hidden="false" customHeight="false" outlineLevel="0" collapsed="false">
      <c r="A31" s="7" t="s">
        <v>914</v>
      </c>
      <c r="B31" s="6" t="s">
        <v>298</v>
      </c>
      <c r="C31" s="7" t="n">
        <v>2021</v>
      </c>
      <c r="D31" s="6" t="s">
        <v>299</v>
      </c>
      <c r="E31" s="6" t="s">
        <v>300</v>
      </c>
      <c r="F31" s="6" t="s">
        <v>737</v>
      </c>
      <c r="G31" s="6" t="s">
        <v>917</v>
      </c>
      <c r="H31" s="6" t="s">
        <v>916</v>
      </c>
    </row>
    <row r="32" customFormat="false" ht="23.85" hidden="false" customHeight="false" outlineLevel="0" collapsed="false">
      <c r="A32" s="7" t="s">
        <v>914</v>
      </c>
      <c r="B32" s="6" t="s">
        <v>275</v>
      </c>
      <c r="C32" s="7" t="n">
        <v>2021</v>
      </c>
      <c r="D32" s="6" t="s">
        <v>276</v>
      </c>
      <c r="E32" s="6" t="s">
        <v>277</v>
      </c>
      <c r="F32" s="6" t="s">
        <v>727</v>
      </c>
      <c r="G32" s="6" t="s">
        <v>917</v>
      </c>
      <c r="H32" s="6" t="s">
        <v>916</v>
      </c>
    </row>
    <row r="33" customFormat="false" ht="23.85" hidden="false" customHeight="false" outlineLevel="0" collapsed="false">
      <c r="A33" s="7" t="s">
        <v>914</v>
      </c>
      <c r="B33" s="6" t="s">
        <v>221</v>
      </c>
      <c r="C33" s="7" t="n">
        <v>2022</v>
      </c>
      <c r="D33" s="6" t="s">
        <v>222</v>
      </c>
      <c r="E33" s="6" t="s">
        <v>223</v>
      </c>
      <c r="F33" s="6" t="s">
        <v>708</v>
      </c>
      <c r="G33" s="6" t="s">
        <v>917</v>
      </c>
      <c r="H33" s="6" t="s">
        <v>916</v>
      </c>
    </row>
    <row r="34" customFormat="false" ht="23.85" hidden="false" customHeight="false" outlineLevel="0" collapsed="false">
      <c r="A34" s="7" t="s">
        <v>914</v>
      </c>
      <c r="B34" s="6" t="s">
        <v>279</v>
      </c>
      <c r="C34" s="7" t="n">
        <v>2024</v>
      </c>
      <c r="D34" s="6" t="s">
        <v>280</v>
      </c>
      <c r="E34" s="6" t="s">
        <v>281</v>
      </c>
      <c r="F34" s="6" t="s">
        <v>728</v>
      </c>
      <c r="G34" s="6" t="s">
        <v>917</v>
      </c>
      <c r="H34" s="6" t="s">
        <v>916</v>
      </c>
    </row>
    <row r="35" customFormat="false" ht="23.85" hidden="false" customHeight="false" outlineLevel="0" collapsed="false">
      <c r="A35" s="7" t="s">
        <v>914</v>
      </c>
      <c r="B35" s="6" t="s">
        <v>302</v>
      </c>
      <c r="C35" s="7" t="n">
        <v>2025</v>
      </c>
      <c r="D35" s="6" t="s">
        <v>303</v>
      </c>
      <c r="E35" s="6" t="s">
        <v>254</v>
      </c>
      <c r="F35" s="6" t="s">
        <v>739</v>
      </c>
      <c r="G35" s="6" t="s">
        <v>917</v>
      </c>
      <c r="H35" s="6" t="s">
        <v>916</v>
      </c>
    </row>
    <row r="36" customFormat="false" ht="23.85" hidden="false" customHeight="false" outlineLevel="0" collapsed="false">
      <c r="A36" s="7" t="s">
        <v>914</v>
      </c>
      <c r="B36" s="6" t="s">
        <v>101</v>
      </c>
      <c r="C36" s="7" t="n">
        <v>2026</v>
      </c>
      <c r="D36" s="6" t="s">
        <v>102</v>
      </c>
      <c r="E36" s="6" t="s">
        <v>50</v>
      </c>
      <c r="F36" s="6" t="s">
        <v>676</v>
      </c>
      <c r="G36" s="6" t="s">
        <v>917</v>
      </c>
      <c r="H36" s="6" t="s">
        <v>916</v>
      </c>
    </row>
    <row r="37" customFormat="false" ht="23.85" hidden="false" customHeight="false" outlineLevel="0" collapsed="false">
      <c r="A37" s="7" t="s">
        <v>914</v>
      </c>
      <c r="B37" s="6" t="s">
        <v>305</v>
      </c>
      <c r="C37" s="7" t="n">
        <v>2026</v>
      </c>
      <c r="D37" s="6" t="s">
        <v>306</v>
      </c>
      <c r="E37" s="6" t="s">
        <v>307</v>
      </c>
      <c r="F37" s="6" t="s">
        <v>740</v>
      </c>
      <c r="G37" s="6" t="s">
        <v>918</v>
      </c>
      <c r="H37" s="6" t="s">
        <v>916</v>
      </c>
    </row>
    <row r="38" customFormat="false" ht="23.85" hidden="false" customHeight="false" outlineLevel="0" collapsed="false">
      <c r="A38" s="7" t="s">
        <v>914</v>
      </c>
      <c r="B38" s="6" t="s">
        <v>283</v>
      </c>
      <c r="C38" s="7" t="n">
        <v>2026</v>
      </c>
      <c r="D38" s="6" t="s">
        <v>284</v>
      </c>
      <c r="E38" s="6" t="s">
        <v>285</v>
      </c>
      <c r="F38" s="6" t="s">
        <v>729</v>
      </c>
      <c r="G38" s="6" t="s">
        <v>917</v>
      </c>
      <c r="H38" s="6" t="s">
        <v>916</v>
      </c>
    </row>
    <row r="39" customFormat="false" ht="23.85" hidden="false" customHeight="false" outlineLevel="0" collapsed="false">
      <c r="A39" s="7" t="s">
        <v>914</v>
      </c>
      <c r="B39" s="6" t="s">
        <v>287</v>
      </c>
      <c r="C39" s="7" t="n">
        <v>2002</v>
      </c>
      <c r="D39" s="6" t="s">
        <v>288</v>
      </c>
      <c r="E39" s="6" t="s">
        <v>162</v>
      </c>
      <c r="F39" s="6" t="s">
        <v>730</v>
      </c>
      <c r="G39" s="6" t="s">
        <v>919</v>
      </c>
      <c r="H39" s="6" t="s">
        <v>916</v>
      </c>
    </row>
    <row r="40" customFormat="false" ht="15" hidden="false" customHeight="false" outlineLevel="0" collapsed="false">
      <c r="A40" s="7" t="s">
        <v>914</v>
      </c>
      <c r="B40" s="6" t="s">
        <v>360</v>
      </c>
      <c r="C40" s="7" t="n">
        <v>2004</v>
      </c>
      <c r="D40" s="6" t="s">
        <v>361</v>
      </c>
      <c r="E40" s="6" t="s">
        <v>229</v>
      </c>
      <c r="F40" s="6" t="s">
        <v>755</v>
      </c>
      <c r="G40" s="6" t="s">
        <v>919</v>
      </c>
      <c r="H40" s="6" t="s">
        <v>916</v>
      </c>
    </row>
    <row r="41" customFormat="false" ht="15" hidden="false" customHeight="false" outlineLevel="0" collapsed="false">
      <c r="A41" s="7" t="s">
        <v>914</v>
      </c>
      <c r="B41" s="6" t="s">
        <v>445</v>
      </c>
      <c r="C41" s="7" t="n">
        <v>2006</v>
      </c>
      <c r="D41" s="6" t="s">
        <v>447</v>
      </c>
      <c r="E41" s="6" t="s">
        <v>339</v>
      </c>
      <c r="F41" s="6" t="s">
        <v>785</v>
      </c>
      <c r="G41" s="6" t="s">
        <v>920</v>
      </c>
      <c r="H41" s="6" t="s">
        <v>916</v>
      </c>
    </row>
    <row r="42" customFormat="false" ht="23.85" hidden="false" customHeight="false" outlineLevel="0" collapsed="false">
      <c r="A42" s="7" t="s">
        <v>914</v>
      </c>
      <c r="B42" s="6" t="s">
        <v>310</v>
      </c>
      <c r="C42" s="7" t="n">
        <v>2009</v>
      </c>
      <c r="D42" s="6" t="s">
        <v>311</v>
      </c>
      <c r="E42" s="6" t="s">
        <v>307</v>
      </c>
      <c r="F42" s="6" t="s">
        <v>741</v>
      </c>
      <c r="G42" s="6" t="s">
        <v>919</v>
      </c>
      <c r="H42" s="6" t="s">
        <v>916</v>
      </c>
    </row>
    <row r="43" customFormat="false" ht="23.85" hidden="false" customHeight="false" outlineLevel="0" collapsed="false">
      <c r="A43" s="7" t="s">
        <v>914</v>
      </c>
      <c r="B43" s="6" t="s">
        <v>474</v>
      </c>
      <c r="C43" s="7" t="n">
        <v>2010</v>
      </c>
      <c r="D43" s="6" t="s">
        <v>476</v>
      </c>
      <c r="E43" s="6" t="s">
        <v>219</v>
      </c>
      <c r="F43" s="6" t="s">
        <v>797</v>
      </c>
      <c r="G43" s="6" t="s">
        <v>919</v>
      </c>
      <c r="H43" s="6" t="s">
        <v>916</v>
      </c>
    </row>
    <row r="44" customFormat="false" ht="15" hidden="false" customHeight="false" outlineLevel="0" collapsed="false">
      <c r="A44" s="7" t="s">
        <v>914</v>
      </c>
      <c r="B44" s="6" t="s">
        <v>324</v>
      </c>
      <c r="C44" s="7" t="n">
        <v>2011</v>
      </c>
      <c r="D44" s="6" t="s">
        <v>326</v>
      </c>
      <c r="E44" s="6" t="s">
        <v>245</v>
      </c>
      <c r="F44" s="6" t="s">
        <v>750</v>
      </c>
      <c r="G44" s="6" t="s">
        <v>919</v>
      </c>
      <c r="H44" s="6" t="s">
        <v>916</v>
      </c>
    </row>
    <row r="45" customFormat="false" ht="23.85" hidden="false" customHeight="false" outlineLevel="0" collapsed="false">
      <c r="A45" s="7" t="s">
        <v>914</v>
      </c>
      <c r="B45" s="6" t="s">
        <v>290</v>
      </c>
      <c r="C45" s="7" t="n">
        <v>2013</v>
      </c>
      <c r="D45" s="6" t="s">
        <v>291</v>
      </c>
      <c r="E45" s="6" t="s">
        <v>237</v>
      </c>
      <c r="F45" s="6" t="s">
        <v>732</v>
      </c>
      <c r="G45" s="6" t="s">
        <v>919</v>
      </c>
      <c r="H45" s="6" t="s">
        <v>916</v>
      </c>
    </row>
    <row r="46" customFormat="false" ht="15" hidden="false" customHeight="false" outlineLevel="0" collapsed="false">
      <c r="A46" s="7" t="s">
        <v>914</v>
      </c>
      <c r="B46" s="6" t="s">
        <v>415</v>
      </c>
      <c r="C46" s="7" t="n">
        <v>2013</v>
      </c>
      <c r="D46" s="6" t="s">
        <v>417</v>
      </c>
      <c r="E46" s="6" t="s">
        <v>162</v>
      </c>
      <c r="F46" s="6" t="s">
        <v>779</v>
      </c>
      <c r="G46" s="6" t="s">
        <v>920</v>
      </c>
      <c r="H46" s="6" t="s">
        <v>916</v>
      </c>
    </row>
    <row r="47" customFormat="false" ht="23.85" hidden="false" customHeight="false" outlineLevel="0" collapsed="false">
      <c r="A47" s="7" t="s">
        <v>914</v>
      </c>
      <c r="B47" s="6" t="s">
        <v>313</v>
      </c>
      <c r="C47" s="7" t="n">
        <v>2013</v>
      </c>
      <c r="D47" s="6" t="s">
        <v>314</v>
      </c>
      <c r="E47" s="6" t="s">
        <v>219</v>
      </c>
      <c r="F47" s="6" t="s">
        <v>742</v>
      </c>
      <c r="G47" s="6" t="s">
        <v>919</v>
      </c>
      <c r="H47" s="6" t="s">
        <v>916</v>
      </c>
    </row>
    <row r="48" customFormat="false" ht="15" hidden="false" customHeight="false" outlineLevel="0" collapsed="false">
      <c r="A48" s="7" t="s">
        <v>914</v>
      </c>
      <c r="B48" s="6" t="s">
        <v>478</v>
      </c>
      <c r="C48" s="7" t="n">
        <v>2013</v>
      </c>
      <c r="D48" s="6" t="s">
        <v>479</v>
      </c>
      <c r="E48" s="6" t="s">
        <v>296</v>
      </c>
      <c r="F48" s="6" t="s">
        <v>801</v>
      </c>
      <c r="G48" s="6" t="s">
        <v>919</v>
      </c>
      <c r="H48" s="6" t="s">
        <v>916</v>
      </c>
    </row>
    <row r="49" customFormat="false" ht="23.85" hidden="false" customHeight="false" outlineLevel="0" collapsed="false">
      <c r="A49" s="7" t="s">
        <v>914</v>
      </c>
      <c r="B49" s="6" t="s">
        <v>328</v>
      </c>
      <c r="C49" s="7" t="n">
        <v>2015</v>
      </c>
      <c r="D49" s="6" t="s">
        <v>329</v>
      </c>
      <c r="E49" s="6" t="s">
        <v>330</v>
      </c>
      <c r="F49" s="6" t="s">
        <v>751</v>
      </c>
      <c r="G49" s="6" t="s">
        <v>919</v>
      </c>
      <c r="H49" s="6" t="s">
        <v>916</v>
      </c>
    </row>
    <row r="50" customFormat="false" ht="15" hidden="false" customHeight="false" outlineLevel="0" collapsed="false">
      <c r="A50" s="7" t="s">
        <v>914</v>
      </c>
      <c r="B50" s="6" t="s">
        <v>333</v>
      </c>
      <c r="C50" s="7" t="n">
        <v>2016</v>
      </c>
      <c r="D50" s="6" t="s">
        <v>334</v>
      </c>
      <c r="E50" s="6" t="s">
        <v>335</v>
      </c>
      <c r="F50" s="6" t="s">
        <v>752</v>
      </c>
      <c r="G50" s="6" t="s">
        <v>919</v>
      </c>
      <c r="H50" s="6" t="s">
        <v>916</v>
      </c>
    </row>
    <row r="51" customFormat="false" ht="23.85" hidden="false" customHeight="false" outlineLevel="0" collapsed="false">
      <c r="A51" s="7" t="s">
        <v>914</v>
      </c>
      <c r="B51" s="6" t="s">
        <v>449</v>
      </c>
      <c r="C51" s="7" t="n">
        <v>2016</v>
      </c>
      <c r="D51" s="6" t="s">
        <v>450</v>
      </c>
      <c r="E51" s="6" t="s">
        <v>237</v>
      </c>
      <c r="F51" s="6" t="s">
        <v>786</v>
      </c>
      <c r="G51" s="6" t="s">
        <v>919</v>
      </c>
      <c r="H51" s="6" t="s">
        <v>916</v>
      </c>
    </row>
    <row r="52" customFormat="false" ht="23.85" hidden="false" customHeight="false" outlineLevel="0" collapsed="false">
      <c r="A52" s="7" t="s">
        <v>914</v>
      </c>
      <c r="B52" s="6" t="s">
        <v>316</v>
      </c>
      <c r="C52" s="7" t="n">
        <v>2016</v>
      </c>
      <c r="D52" s="6" t="s">
        <v>317</v>
      </c>
      <c r="E52" s="6" t="s">
        <v>250</v>
      </c>
      <c r="F52" s="6" t="s">
        <v>735</v>
      </c>
      <c r="G52" s="6" t="s">
        <v>919</v>
      </c>
      <c r="H52" s="6" t="s">
        <v>916</v>
      </c>
    </row>
    <row r="53" customFormat="false" ht="15" hidden="false" customHeight="false" outlineLevel="0" collapsed="false">
      <c r="A53" s="7" t="s">
        <v>914</v>
      </c>
      <c r="B53" s="6" t="s">
        <v>337</v>
      </c>
      <c r="C53" s="7" t="n">
        <v>2017</v>
      </c>
      <c r="D53" s="6" t="s">
        <v>338</v>
      </c>
      <c r="E53" s="6" t="s">
        <v>339</v>
      </c>
      <c r="F53" s="6" t="s">
        <v>745</v>
      </c>
      <c r="G53" s="6" t="s">
        <v>921</v>
      </c>
      <c r="H53" s="6" t="s">
        <v>916</v>
      </c>
    </row>
    <row r="54" customFormat="false" ht="23.85" hidden="false" customHeight="false" outlineLevel="0" collapsed="false">
      <c r="A54" s="7" t="s">
        <v>914</v>
      </c>
      <c r="B54" s="6" t="s">
        <v>363</v>
      </c>
      <c r="C54" s="7" t="n">
        <v>2019</v>
      </c>
      <c r="D54" s="6" t="s">
        <v>364</v>
      </c>
      <c r="E54" s="6" t="s">
        <v>365</v>
      </c>
      <c r="F54" s="6" t="s">
        <v>757</v>
      </c>
      <c r="G54" s="6" t="s">
        <v>919</v>
      </c>
      <c r="H54" s="6" t="s">
        <v>916</v>
      </c>
    </row>
    <row r="55" customFormat="false" ht="15" hidden="false" customHeight="false" outlineLevel="0" collapsed="false">
      <c r="A55" s="7" t="s">
        <v>914</v>
      </c>
      <c r="B55" s="6" t="s">
        <v>341</v>
      </c>
      <c r="C55" s="7" t="n">
        <v>2020</v>
      </c>
      <c r="D55" s="6" t="s">
        <v>342</v>
      </c>
      <c r="E55" s="6" t="s">
        <v>296</v>
      </c>
      <c r="F55" s="6" t="s">
        <v>746</v>
      </c>
      <c r="G55" s="6" t="s">
        <v>921</v>
      </c>
      <c r="H55" s="6" t="s">
        <v>916</v>
      </c>
    </row>
    <row r="56" customFormat="false" ht="23.85" hidden="false" customHeight="false" outlineLevel="0" collapsed="false">
      <c r="A56" s="7" t="s">
        <v>914</v>
      </c>
      <c r="B56" s="6" t="s">
        <v>419</v>
      </c>
      <c r="C56" s="7" t="n">
        <v>2020</v>
      </c>
      <c r="D56" s="6" t="s">
        <v>420</v>
      </c>
      <c r="E56" s="6" t="s">
        <v>250</v>
      </c>
      <c r="F56" s="6" t="s">
        <v>780</v>
      </c>
      <c r="G56" s="6" t="s">
        <v>919</v>
      </c>
      <c r="H56" s="6" t="s">
        <v>916</v>
      </c>
    </row>
    <row r="57" customFormat="false" ht="15" hidden="false" customHeight="false" outlineLevel="0" collapsed="false">
      <c r="A57" s="7" t="s">
        <v>914</v>
      </c>
      <c r="B57" s="6" t="s">
        <v>344</v>
      </c>
      <c r="C57" s="7" t="n">
        <v>2022</v>
      </c>
      <c r="D57" s="6" t="s">
        <v>345</v>
      </c>
      <c r="E57" s="6" t="s">
        <v>346</v>
      </c>
      <c r="F57" s="6" t="s">
        <v>748</v>
      </c>
      <c r="G57" s="6" t="s">
        <v>921</v>
      </c>
      <c r="H57" s="6" t="s">
        <v>916</v>
      </c>
    </row>
    <row r="58" customFormat="false" ht="15" hidden="false" customHeight="false" outlineLevel="0" collapsed="false">
      <c r="A58" s="7" t="s">
        <v>914</v>
      </c>
      <c r="B58" s="6" t="s">
        <v>319</v>
      </c>
      <c r="C58" s="7" t="n">
        <v>2022</v>
      </c>
      <c r="D58" s="6" t="s">
        <v>320</v>
      </c>
      <c r="E58" s="6" t="s">
        <v>321</v>
      </c>
      <c r="F58" s="6" t="s">
        <v>738</v>
      </c>
      <c r="G58" s="6" t="s">
        <v>919</v>
      </c>
      <c r="H58" s="6" t="s">
        <v>916</v>
      </c>
    </row>
    <row r="59" customFormat="false" ht="23.85" hidden="false" customHeight="false" outlineLevel="0" collapsed="false">
      <c r="A59" s="7" t="s">
        <v>914</v>
      </c>
      <c r="B59" s="6" t="s">
        <v>56</v>
      </c>
      <c r="C59" s="7" t="n">
        <v>2023</v>
      </c>
      <c r="D59" s="6" t="s">
        <v>59</v>
      </c>
      <c r="E59" s="6" t="s">
        <v>60</v>
      </c>
      <c r="F59" s="6" t="s">
        <v>671</v>
      </c>
      <c r="G59" s="6" t="s">
        <v>922</v>
      </c>
      <c r="H59" s="6" t="s">
        <v>916</v>
      </c>
    </row>
    <row r="60" customFormat="false" ht="35.05" hidden="false" customHeight="false" outlineLevel="0" collapsed="false">
      <c r="A60" s="7" t="s">
        <v>914</v>
      </c>
      <c r="B60" s="6" t="s">
        <v>453</v>
      </c>
      <c r="C60" s="7" t="n">
        <v>2023</v>
      </c>
      <c r="D60" s="6" t="s">
        <v>454</v>
      </c>
      <c r="E60" s="6" t="s">
        <v>455</v>
      </c>
      <c r="F60" s="6" t="s">
        <v>788</v>
      </c>
      <c r="G60" s="6" t="s">
        <v>919</v>
      </c>
      <c r="H60" s="6" t="s">
        <v>916</v>
      </c>
    </row>
    <row r="61" customFormat="false" ht="15" hidden="false" customHeight="false" outlineLevel="0" collapsed="false">
      <c r="A61" s="7" t="s">
        <v>914</v>
      </c>
      <c r="B61" s="6" t="s">
        <v>349</v>
      </c>
      <c r="C61" s="7" t="n">
        <v>2023</v>
      </c>
      <c r="D61" s="6" t="s">
        <v>350</v>
      </c>
      <c r="E61" s="6" t="s">
        <v>296</v>
      </c>
      <c r="F61" s="6" t="s">
        <v>749</v>
      </c>
      <c r="G61" s="6" t="s">
        <v>921</v>
      </c>
      <c r="H61" s="6" t="s">
        <v>916</v>
      </c>
    </row>
    <row r="62" customFormat="false" ht="35.05" hidden="false" customHeight="false" outlineLevel="0" collapsed="false">
      <c r="A62" s="7" t="s">
        <v>914</v>
      </c>
      <c r="B62" s="6" t="s">
        <v>422</v>
      </c>
      <c r="C62" s="7" t="n">
        <v>2024</v>
      </c>
      <c r="D62" s="6" t="s">
        <v>423</v>
      </c>
      <c r="E62" s="6" t="s">
        <v>424</v>
      </c>
      <c r="F62" s="6" t="s">
        <v>781</v>
      </c>
      <c r="G62" s="6" t="s">
        <v>920</v>
      </c>
      <c r="H62" s="6" t="s">
        <v>916</v>
      </c>
    </row>
    <row r="63" customFormat="false" ht="15" hidden="false" customHeight="false" outlineLevel="0" collapsed="false">
      <c r="A63" s="7" t="s">
        <v>914</v>
      </c>
      <c r="B63" s="6" t="s">
        <v>367</v>
      </c>
      <c r="C63" s="7" t="n">
        <v>2025</v>
      </c>
      <c r="D63" s="6" t="s">
        <v>368</v>
      </c>
      <c r="E63" s="6" t="s">
        <v>162</v>
      </c>
      <c r="F63" s="6" t="s">
        <v>758</v>
      </c>
      <c r="G63" s="6" t="s">
        <v>919</v>
      </c>
      <c r="H63" s="6" t="s">
        <v>916</v>
      </c>
    </row>
    <row r="64" customFormat="false" ht="23.85" hidden="false" customHeight="false" outlineLevel="0" collapsed="false">
      <c r="A64" s="7" t="s">
        <v>914</v>
      </c>
      <c r="B64" s="6" t="s">
        <v>104</v>
      </c>
      <c r="C64" s="7" t="n">
        <v>2026</v>
      </c>
      <c r="D64" s="6" t="s">
        <v>105</v>
      </c>
      <c r="E64" s="6" t="s">
        <v>50</v>
      </c>
      <c r="F64" s="6" t="s">
        <v>674</v>
      </c>
      <c r="G64" s="6" t="s">
        <v>922</v>
      </c>
      <c r="H64" s="6" t="s">
        <v>916</v>
      </c>
    </row>
    <row r="65" customFormat="false" ht="23.85" hidden="false" customHeight="false" outlineLevel="0" collapsed="false">
      <c r="A65" s="7" t="s">
        <v>914</v>
      </c>
      <c r="B65" s="6" t="s">
        <v>426</v>
      </c>
      <c r="C65" s="7" t="n">
        <v>2026</v>
      </c>
      <c r="D65" s="6" t="s">
        <v>427</v>
      </c>
      <c r="E65" s="6" t="s">
        <v>428</v>
      </c>
      <c r="F65" s="6" t="s">
        <v>782</v>
      </c>
      <c r="G65" s="6" t="s">
        <v>921</v>
      </c>
      <c r="H65" s="6" t="s">
        <v>916</v>
      </c>
    </row>
    <row r="66" customFormat="false" ht="23.85" hidden="false" customHeight="false" outlineLevel="0" collapsed="false">
      <c r="A66" s="7" t="s">
        <v>914</v>
      </c>
      <c r="B66" s="6" t="s">
        <v>430</v>
      </c>
      <c r="C66" s="7" t="n">
        <v>1995</v>
      </c>
      <c r="D66" s="6" t="s">
        <v>431</v>
      </c>
      <c r="E66" s="6" t="s">
        <v>296</v>
      </c>
      <c r="F66" s="6" t="s">
        <v>777</v>
      </c>
      <c r="G66" s="6" t="s">
        <v>923</v>
      </c>
      <c r="H66" s="6" t="s">
        <v>916</v>
      </c>
    </row>
    <row r="67" customFormat="false" ht="23.85" hidden="false" customHeight="false" outlineLevel="0" collapsed="false">
      <c r="A67" s="7" t="s">
        <v>914</v>
      </c>
      <c r="B67" s="6" t="s">
        <v>433</v>
      </c>
      <c r="C67" s="7" t="n">
        <v>1995</v>
      </c>
      <c r="D67" s="6" t="s">
        <v>434</v>
      </c>
      <c r="E67" s="6" t="s">
        <v>250</v>
      </c>
      <c r="F67" s="6" t="s">
        <v>778</v>
      </c>
      <c r="G67" s="6" t="s">
        <v>923</v>
      </c>
      <c r="H67" s="6" t="s">
        <v>916</v>
      </c>
    </row>
    <row r="68" customFormat="false" ht="23.85" hidden="false" customHeight="false" outlineLevel="0" collapsed="false">
      <c r="A68" s="7" t="s">
        <v>914</v>
      </c>
      <c r="B68" s="6" t="s">
        <v>458</v>
      </c>
      <c r="C68" s="7" t="n">
        <v>1996</v>
      </c>
      <c r="D68" s="6" t="s">
        <v>459</v>
      </c>
      <c r="E68" s="6" t="s">
        <v>250</v>
      </c>
      <c r="F68" s="6" t="s">
        <v>789</v>
      </c>
      <c r="G68" s="6" t="s">
        <v>923</v>
      </c>
      <c r="H68" s="6" t="s">
        <v>916</v>
      </c>
    </row>
    <row r="69" customFormat="false" ht="23.85" hidden="false" customHeight="false" outlineLevel="0" collapsed="false">
      <c r="A69" s="7" t="s">
        <v>914</v>
      </c>
      <c r="B69" s="6" t="s">
        <v>461</v>
      </c>
      <c r="C69" s="7" t="n">
        <v>1999</v>
      </c>
      <c r="D69" s="6" t="s">
        <v>462</v>
      </c>
      <c r="E69" s="6" t="s">
        <v>250</v>
      </c>
      <c r="F69" s="6" t="s">
        <v>790</v>
      </c>
      <c r="G69" s="6" t="s">
        <v>923</v>
      </c>
      <c r="H69" s="6" t="s">
        <v>916</v>
      </c>
    </row>
    <row r="70" customFormat="false" ht="15" hidden="false" customHeight="false" outlineLevel="0" collapsed="false">
      <c r="A70" s="7" t="s">
        <v>914</v>
      </c>
      <c r="B70" s="6" t="s">
        <v>464</v>
      </c>
      <c r="C70" s="7" t="n">
        <v>2002</v>
      </c>
      <c r="D70" s="6" t="s">
        <v>465</v>
      </c>
      <c r="E70" s="6" t="s">
        <v>198</v>
      </c>
      <c r="F70" s="6" t="s">
        <v>791</v>
      </c>
      <c r="G70" s="6" t="s">
        <v>923</v>
      </c>
      <c r="H70" s="6" t="s">
        <v>916</v>
      </c>
    </row>
    <row r="71" customFormat="false" ht="15" hidden="false" customHeight="false" outlineLevel="0" collapsed="false">
      <c r="A71" s="7" t="s">
        <v>914</v>
      </c>
      <c r="B71" s="6" t="s">
        <v>370</v>
      </c>
      <c r="C71" s="7" t="n">
        <v>2004</v>
      </c>
      <c r="D71" s="6" t="s">
        <v>371</v>
      </c>
      <c r="E71" s="6" t="s">
        <v>162</v>
      </c>
      <c r="F71" s="6" t="s">
        <v>756</v>
      </c>
      <c r="G71" s="6" t="s">
        <v>923</v>
      </c>
      <c r="H71" s="6" t="s">
        <v>916</v>
      </c>
    </row>
    <row r="72" customFormat="false" ht="23.85" hidden="false" customHeight="false" outlineLevel="0" collapsed="false">
      <c r="A72" s="7" t="s">
        <v>914</v>
      </c>
      <c r="B72" s="6" t="s">
        <v>373</v>
      </c>
      <c r="C72" s="7" t="n">
        <v>2005</v>
      </c>
      <c r="D72" s="6" t="s">
        <v>374</v>
      </c>
      <c r="E72" s="6" t="s">
        <v>375</v>
      </c>
      <c r="F72" s="6" t="s">
        <v>760</v>
      </c>
      <c r="G72" s="6" t="s">
        <v>923</v>
      </c>
      <c r="H72" s="6" t="s">
        <v>916</v>
      </c>
    </row>
    <row r="73" customFormat="false" ht="15" hidden="false" customHeight="false" outlineLevel="0" collapsed="false">
      <c r="A73" s="7" t="s">
        <v>914</v>
      </c>
      <c r="B73" s="6" t="s">
        <v>467</v>
      </c>
      <c r="C73" s="7" t="n">
        <v>2008</v>
      </c>
      <c r="D73" s="6" t="s">
        <v>468</v>
      </c>
      <c r="E73" s="6" t="s">
        <v>469</v>
      </c>
      <c r="F73" s="6" t="s">
        <v>792</v>
      </c>
      <c r="G73" s="6" t="s">
        <v>923</v>
      </c>
      <c r="H73" s="6" t="s">
        <v>916</v>
      </c>
    </row>
    <row r="74" customFormat="false" ht="23.85" hidden="false" customHeight="false" outlineLevel="0" collapsed="false">
      <c r="A74" s="7" t="s">
        <v>914</v>
      </c>
      <c r="B74" s="6" t="s">
        <v>481</v>
      </c>
      <c r="C74" s="7" t="n">
        <v>2008</v>
      </c>
      <c r="D74" s="6" t="s">
        <v>482</v>
      </c>
      <c r="E74" s="6" t="s">
        <v>250</v>
      </c>
      <c r="F74" s="6" t="s">
        <v>795</v>
      </c>
      <c r="G74" s="6" t="s">
        <v>924</v>
      </c>
      <c r="H74" s="6" t="s">
        <v>916</v>
      </c>
    </row>
    <row r="75" customFormat="false" ht="15" hidden="false" customHeight="false" outlineLevel="0" collapsed="false">
      <c r="A75" s="7" t="s">
        <v>914</v>
      </c>
      <c r="B75" s="6" t="s">
        <v>107</v>
      </c>
      <c r="C75" s="7" t="n">
        <v>2009</v>
      </c>
      <c r="D75" s="6" t="s">
        <v>108</v>
      </c>
      <c r="E75" s="7" t="s">
        <v>109</v>
      </c>
      <c r="F75" s="6" t="s">
        <v>678</v>
      </c>
      <c r="G75" s="6" t="s">
        <v>923</v>
      </c>
      <c r="H75" s="6" t="s">
        <v>916</v>
      </c>
    </row>
    <row r="76" customFormat="false" ht="23.85" hidden="false" customHeight="false" outlineLevel="0" collapsed="false">
      <c r="A76" s="7" t="s">
        <v>914</v>
      </c>
      <c r="B76" s="6" t="s">
        <v>484</v>
      </c>
      <c r="C76" s="7" t="n">
        <v>2009</v>
      </c>
      <c r="D76" s="6" t="s">
        <v>485</v>
      </c>
      <c r="E76" s="6" t="s">
        <v>250</v>
      </c>
      <c r="F76" s="6" t="s">
        <v>796</v>
      </c>
      <c r="G76" s="6" t="s">
        <v>923</v>
      </c>
      <c r="H76" s="6" t="s">
        <v>916</v>
      </c>
    </row>
    <row r="77" customFormat="false" ht="23.85" hidden="false" customHeight="false" outlineLevel="0" collapsed="false">
      <c r="A77" s="7" t="s">
        <v>914</v>
      </c>
      <c r="B77" s="6" t="s">
        <v>488</v>
      </c>
      <c r="C77" s="7" t="n">
        <v>2010</v>
      </c>
      <c r="D77" s="6" t="s">
        <v>489</v>
      </c>
      <c r="E77" s="6" t="s">
        <v>210</v>
      </c>
      <c r="F77" s="6" t="s">
        <v>798</v>
      </c>
      <c r="G77" s="6" t="s">
        <v>923</v>
      </c>
      <c r="H77" s="6" t="s">
        <v>916</v>
      </c>
    </row>
    <row r="78" customFormat="false" ht="15" hidden="false" customHeight="false" outlineLevel="0" collapsed="false">
      <c r="A78" s="7" t="s">
        <v>914</v>
      </c>
      <c r="B78" s="6" t="s">
        <v>112</v>
      </c>
      <c r="C78" s="7" t="n">
        <v>2011</v>
      </c>
      <c r="D78" s="6" t="s">
        <v>113</v>
      </c>
      <c r="E78" s="7" t="s">
        <v>109</v>
      </c>
      <c r="F78" s="6" t="s">
        <v>680</v>
      </c>
      <c r="G78" s="6" t="s">
        <v>923</v>
      </c>
      <c r="H78" s="6" t="s">
        <v>916</v>
      </c>
    </row>
    <row r="79" customFormat="false" ht="23.85" hidden="false" customHeight="false" outlineLevel="0" collapsed="false">
      <c r="A79" s="7" t="s">
        <v>914</v>
      </c>
      <c r="B79" s="6" t="s">
        <v>491</v>
      </c>
      <c r="C79" s="7" t="n">
        <v>2011</v>
      </c>
      <c r="D79" s="6" t="s">
        <v>492</v>
      </c>
      <c r="E79" s="6" t="s">
        <v>162</v>
      </c>
      <c r="F79" s="6" t="s">
        <v>799</v>
      </c>
      <c r="G79" s="6" t="s">
        <v>923</v>
      </c>
      <c r="H79" s="6" t="s">
        <v>916</v>
      </c>
    </row>
    <row r="80" customFormat="false" ht="15" hidden="false" customHeight="false" outlineLevel="0" collapsed="false">
      <c r="A80" s="7" t="s">
        <v>914</v>
      </c>
      <c r="B80" s="6" t="s">
        <v>389</v>
      </c>
      <c r="C80" s="7" t="n">
        <v>2012</v>
      </c>
      <c r="D80" s="6" t="s">
        <v>390</v>
      </c>
      <c r="E80" s="6" t="s">
        <v>210</v>
      </c>
      <c r="F80" s="6" t="s">
        <v>768</v>
      </c>
      <c r="G80" s="6" t="s">
        <v>923</v>
      </c>
      <c r="H80" s="6" t="s">
        <v>916</v>
      </c>
    </row>
    <row r="81" customFormat="false" ht="23.85" hidden="false" customHeight="false" outlineLevel="0" collapsed="false">
      <c r="A81" s="7" t="s">
        <v>914</v>
      </c>
      <c r="B81" s="6" t="s">
        <v>494</v>
      </c>
      <c r="C81" s="7" t="n">
        <v>2012</v>
      </c>
      <c r="D81" s="6" t="s">
        <v>495</v>
      </c>
      <c r="E81" s="6" t="s">
        <v>250</v>
      </c>
      <c r="F81" s="6" t="s">
        <v>800</v>
      </c>
      <c r="G81" s="6" t="s">
        <v>923</v>
      </c>
      <c r="H81" s="6" t="s">
        <v>916</v>
      </c>
    </row>
    <row r="82" customFormat="false" ht="15" hidden="false" customHeight="false" outlineLevel="0" collapsed="false">
      <c r="A82" s="7" t="s">
        <v>914</v>
      </c>
      <c r="B82" s="6" t="s">
        <v>498</v>
      </c>
      <c r="C82" s="7" t="n">
        <v>2013</v>
      </c>
      <c r="D82" s="6" t="s">
        <v>499</v>
      </c>
      <c r="E82" s="6" t="s">
        <v>296</v>
      </c>
      <c r="F82" s="6" t="s">
        <v>802</v>
      </c>
      <c r="G82" s="6" t="s">
        <v>923</v>
      </c>
      <c r="H82" s="6" t="s">
        <v>916</v>
      </c>
    </row>
    <row r="83" customFormat="false" ht="23.85" hidden="false" customHeight="false" outlineLevel="0" collapsed="false">
      <c r="A83" s="7" t="s">
        <v>914</v>
      </c>
      <c r="B83" s="6" t="s">
        <v>503</v>
      </c>
      <c r="C83" s="7" t="n">
        <v>2013</v>
      </c>
      <c r="D83" s="6" t="s">
        <v>505</v>
      </c>
      <c r="E83" s="6" t="s">
        <v>237</v>
      </c>
      <c r="F83" s="6" t="s">
        <v>805</v>
      </c>
      <c r="G83" s="6" t="s">
        <v>923</v>
      </c>
      <c r="H83" s="6" t="s">
        <v>916</v>
      </c>
    </row>
    <row r="84" customFormat="false" ht="23.85" hidden="false" customHeight="false" outlineLevel="0" collapsed="false">
      <c r="A84" s="7" t="s">
        <v>914</v>
      </c>
      <c r="B84" s="6" t="s">
        <v>508</v>
      </c>
      <c r="C84" s="7" t="n">
        <v>2013</v>
      </c>
      <c r="D84" s="6" t="s">
        <v>509</v>
      </c>
      <c r="E84" s="6" t="s">
        <v>510</v>
      </c>
      <c r="F84" s="6" t="s">
        <v>806</v>
      </c>
      <c r="G84" s="6" t="s">
        <v>923</v>
      </c>
      <c r="H84" s="6" t="s">
        <v>925</v>
      </c>
    </row>
    <row r="85" customFormat="false" ht="15" hidden="false" customHeight="false" outlineLevel="0" collapsed="false">
      <c r="A85" s="7" t="s">
        <v>914</v>
      </c>
      <c r="B85" s="6" t="s">
        <v>377</v>
      </c>
      <c r="C85" s="7" t="n">
        <v>2013</v>
      </c>
      <c r="D85" s="6" t="s">
        <v>378</v>
      </c>
      <c r="E85" s="6" t="s">
        <v>162</v>
      </c>
      <c r="F85" s="6" t="s">
        <v>761</v>
      </c>
      <c r="G85" s="6" t="s">
        <v>923</v>
      </c>
      <c r="H85" s="6" t="s">
        <v>916</v>
      </c>
    </row>
    <row r="86" customFormat="false" ht="23.85" hidden="false" customHeight="false" outlineLevel="0" collapsed="false">
      <c r="A86" s="7" t="s">
        <v>914</v>
      </c>
      <c r="B86" s="6" t="s">
        <v>512</v>
      </c>
      <c r="C86" s="7" t="n">
        <v>2014</v>
      </c>
      <c r="D86" s="6" t="s">
        <v>513</v>
      </c>
      <c r="E86" s="6" t="s">
        <v>514</v>
      </c>
      <c r="F86" s="6" t="s">
        <v>807</v>
      </c>
      <c r="G86" s="6" t="s">
        <v>923</v>
      </c>
      <c r="H86" s="6" t="s">
        <v>916</v>
      </c>
    </row>
    <row r="87" customFormat="false" ht="15" hidden="false" customHeight="false" outlineLevel="0" collapsed="false">
      <c r="A87" s="7" t="s">
        <v>914</v>
      </c>
      <c r="B87" s="6" t="s">
        <v>516</v>
      </c>
      <c r="C87" s="7" t="n">
        <v>2015</v>
      </c>
      <c r="D87" s="6" t="s">
        <v>517</v>
      </c>
      <c r="E87" s="6" t="s">
        <v>296</v>
      </c>
      <c r="F87" s="6" t="s">
        <v>808</v>
      </c>
      <c r="G87" s="6" t="s">
        <v>923</v>
      </c>
      <c r="H87" s="6" t="s">
        <v>916</v>
      </c>
    </row>
    <row r="88" customFormat="false" ht="23.85" hidden="false" customHeight="false" outlineLevel="0" collapsed="false">
      <c r="A88" s="7" t="s">
        <v>914</v>
      </c>
      <c r="B88" s="6" t="s">
        <v>392</v>
      </c>
      <c r="C88" s="7" t="n">
        <v>2015</v>
      </c>
      <c r="D88" s="6" t="s">
        <v>393</v>
      </c>
      <c r="E88" s="6" t="s">
        <v>162</v>
      </c>
      <c r="F88" s="6" t="s">
        <v>769</v>
      </c>
      <c r="G88" s="6" t="s">
        <v>923</v>
      </c>
      <c r="H88" s="6" t="s">
        <v>916</v>
      </c>
    </row>
    <row r="89" customFormat="false" ht="15" hidden="false" customHeight="false" outlineLevel="0" collapsed="false">
      <c r="A89" s="7" t="s">
        <v>914</v>
      </c>
      <c r="B89" s="6" t="s">
        <v>395</v>
      </c>
      <c r="C89" s="7" t="n">
        <v>2015</v>
      </c>
      <c r="D89" s="6" t="s">
        <v>396</v>
      </c>
      <c r="E89" s="6" t="s">
        <v>397</v>
      </c>
      <c r="F89" s="6" t="s">
        <v>770</v>
      </c>
      <c r="G89" s="6" t="s">
        <v>923</v>
      </c>
      <c r="H89" s="6" t="s">
        <v>916</v>
      </c>
    </row>
    <row r="90" customFormat="false" ht="23.85" hidden="false" customHeight="false" outlineLevel="0" collapsed="false">
      <c r="A90" s="7" t="s">
        <v>914</v>
      </c>
      <c r="B90" s="6" t="s">
        <v>63</v>
      </c>
      <c r="C90" s="7" t="n">
        <v>2016</v>
      </c>
      <c r="D90" s="6" t="s">
        <v>66</v>
      </c>
      <c r="E90" s="6" t="s">
        <v>67</v>
      </c>
      <c r="F90" s="6" t="s">
        <v>663</v>
      </c>
      <c r="G90" s="6" t="s">
        <v>926</v>
      </c>
      <c r="H90" s="6" t="s">
        <v>916</v>
      </c>
    </row>
    <row r="91" customFormat="false" ht="23.85" hidden="false" customHeight="false" outlineLevel="0" collapsed="false">
      <c r="A91" s="7" t="s">
        <v>914</v>
      </c>
      <c r="B91" s="6" t="s">
        <v>399</v>
      </c>
      <c r="C91" s="7" t="n">
        <v>2016</v>
      </c>
      <c r="D91" s="6" t="s">
        <v>400</v>
      </c>
      <c r="E91" s="6" t="s">
        <v>401</v>
      </c>
      <c r="F91" s="6" t="s">
        <v>771</v>
      </c>
      <c r="G91" s="6" t="s">
        <v>923</v>
      </c>
      <c r="H91" s="6" t="s">
        <v>916</v>
      </c>
    </row>
    <row r="92" customFormat="false" ht="15" hidden="false" customHeight="false" outlineLevel="0" collapsed="false">
      <c r="A92" s="7" t="s">
        <v>914</v>
      </c>
      <c r="B92" s="6" t="s">
        <v>573</v>
      </c>
      <c r="C92" s="7" t="n">
        <v>2016</v>
      </c>
      <c r="D92" s="6" t="s">
        <v>574</v>
      </c>
      <c r="E92" s="6" t="s">
        <v>575</v>
      </c>
      <c r="F92" s="6" t="s">
        <v>832</v>
      </c>
      <c r="G92" s="6" t="s">
        <v>926</v>
      </c>
      <c r="H92" s="6" t="s">
        <v>916</v>
      </c>
    </row>
    <row r="93" customFormat="false" ht="23.85" hidden="false" customHeight="false" outlineLevel="0" collapsed="false">
      <c r="A93" s="7" t="s">
        <v>914</v>
      </c>
      <c r="B93" s="6" t="s">
        <v>70</v>
      </c>
      <c r="C93" s="7" t="n">
        <v>2017</v>
      </c>
      <c r="D93" s="6" t="s">
        <v>71</v>
      </c>
      <c r="E93" s="6" t="s">
        <v>50</v>
      </c>
      <c r="F93" s="6" t="s">
        <v>664</v>
      </c>
      <c r="G93" s="6" t="s">
        <v>926</v>
      </c>
      <c r="H93" s="6" t="s">
        <v>916</v>
      </c>
    </row>
    <row r="94" customFormat="false" ht="23.85" hidden="false" customHeight="false" outlineLevel="0" collapsed="false">
      <c r="A94" s="7" t="s">
        <v>914</v>
      </c>
      <c r="B94" s="6" t="s">
        <v>115</v>
      </c>
      <c r="C94" s="7" t="n">
        <v>2017</v>
      </c>
      <c r="D94" s="6" t="s">
        <v>116</v>
      </c>
      <c r="E94" s="7" t="s">
        <v>117</v>
      </c>
      <c r="F94" s="6" t="s">
        <v>681</v>
      </c>
      <c r="G94" s="6" t="s">
        <v>923</v>
      </c>
      <c r="H94" s="6" t="s">
        <v>916</v>
      </c>
    </row>
    <row r="95" customFormat="false" ht="23.85" hidden="false" customHeight="false" outlineLevel="0" collapsed="false">
      <c r="A95" s="7" t="s">
        <v>914</v>
      </c>
      <c r="B95" s="6" t="s">
        <v>73</v>
      </c>
      <c r="C95" s="7" t="n">
        <v>2018</v>
      </c>
      <c r="D95" s="6" t="s">
        <v>76</v>
      </c>
      <c r="E95" s="6" t="s">
        <v>77</v>
      </c>
      <c r="F95" s="6" t="s">
        <v>665</v>
      </c>
      <c r="G95" s="6" t="s">
        <v>926</v>
      </c>
      <c r="H95" s="6" t="s">
        <v>916</v>
      </c>
    </row>
    <row r="96" customFormat="false" ht="23.85" hidden="false" customHeight="false" outlineLevel="0" collapsed="false">
      <c r="A96" s="7" t="s">
        <v>914</v>
      </c>
      <c r="B96" s="6" t="s">
        <v>119</v>
      </c>
      <c r="C96" s="7" t="n">
        <v>2018</v>
      </c>
      <c r="D96" s="6" t="s">
        <v>120</v>
      </c>
      <c r="E96" s="6" t="s">
        <v>121</v>
      </c>
      <c r="F96" s="6" t="s">
        <v>682</v>
      </c>
      <c r="G96" s="6" t="s">
        <v>923</v>
      </c>
      <c r="H96" s="6" t="s">
        <v>916</v>
      </c>
    </row>
    <row r="97" customFormat="false" ht="23.85" hidden="false" customHeight="false" outlineLevel="0" collapsed="false">
      <c r="A97" s="7" t="s">
        <v>914</v>
      </c>
      <c r="B97" s="6" t="s">
        <v>128</v>
      </c>
      <c r="C97" s="7" t="n">
        <v>2018</v>
      </c>
      <c r="D97" s="6" t="s">
        <v>130</v>
      </c>
      <c r="E97" s="7" t="s">
        <v>109</v>
      </c>
      <c r="F97" s="6" t="s">
        <v>685</v>
      </c>
      <c r="G97" s="6" t="s">
        <v>923</v>
      </c>
      <c r="H97" s="6" t="s">
        <v>916</v>
      </c>
    </row>
    <row r="98" customFormat="false" ht="23.85" hidden="false" customHeight="false" outlineLevel="0" collapsed="false">
      <c r="A98" s="7" t="s">
        <v>914</v>
      </c>
      <c r="B98" s="6" t="s">
        <v>471</v>
      </c>
      <c r="C98" s="7" t="n">
        <v>2018</v>
      </c>
      <c r="D98" s="6" t="s">
        <v>472</v>
      </c>
      <c r="E98" s="6" t="s">
        <v>162</v>
      </c>
      <c r="F98" s="6" t="s">
        <v>787</v>
      </c>
      <c r="G98" s="6" t="s">
        <v>923</v>
      </c>
      <c r="H98" s="6" t="s">
        <v>916</v>
      </c>
    </row>
    <row r="99" customFormat="false" ht="23.85" hidden="false" customHeight="false" outlineLevel="0" collapsed="false">
      <c r="A99" s="7" t="s">
        <v>914</v>
      </c>
      <c r="B99" s="6" t="s">
        <v>520</v>
      </c>
      <c r="C99" s="7" t="n">
        <v>2018</v>
      </c>
      <c r="D99" s="6" t="s">
        <v>521</v>
      </c>
      <c r="E99" s="6" t="s">
        <v>254</v>
      </c>
      <c r="F99" s="6" t="s">
        <v>809</v>
      </c>
      <c r="G99" s="6" t="s">
        <v>923</v>
      </c>
      <c r="H99" s="6" t="s">
        <v>916</v>
      </c>
    </row>
    <row r="100" customFormat="false" ht="15" hidden="false" customHeight="false" outlineLevel="0" collapsed="false">
      <c r="A100" s="7" t="s">
        <v>914</v>
      </c>
      <c r="B100" s="6" t="s">
        <v>123</v>
      </c>
      <c r="C100" s="7" t="n">
        <v>2018</v>
      </c>
      <c r="D100" s="6" t="s">
        <v>124</v>
      </c>
      <c r="E100" s="6" t="s">
        <v>125</v>
      </c>
      <c r="F100" s="6" t="s">
        <v>679</v>
      </c>
      <c r="G100" s="6" t="s">
        <v>923</v>
      </c>
      <c r="H100" s="6" t="s">
        <v>916</v>
      </c>
    </row>
    <row r="101" customFormat="false" ht="23.85" hidden="false" customHeight="false" outlineLevel="0" collapsed="false">
      <c r="A101" s="7" t="s">
        <v>914</v>
      </c>
      <c r="B101" s="6" t="s">
        <v>380</v>
      </c>
      <c r="C101" s="7" t="n">
        <v>2018</v>
      </c>
      <c r="D101" s="6" t="s">
        <v>381</v>
      </c>
      <c r="E101" s="6" t="s">
        <v>382</v>
      </c>
      <c r="F101" s="6" t="s">
        <v>762</v>
      </c>
      <c r="G101" s="6" t="s">
        <v>923</v>
      </c>
      <c r="H101" s="6" t="s">
        <v>916</v>
      </c>
    </row>
    <row r="102" customFormat="false" ht="15" hidden="false" customHeight="false" outlineLevel="0" collapsed="false">
      <c r="A102" s="7" t="s">
        <v>914</v>
      </c>
      <c r="B102" s="6" t="s">
        <v>524</v>
      </c>
      <c r="C102" s="7" t="n">
        <v>2018</v>
      </c>
      <c r="D102" s="6" t="s">
        <v>525</v>
      </c>
      <c r="E102" s="6" t="s">
        <v>526</v>
      </c>
      <c r="F102" s="6" t="s">
        <v>810</v>
      </c>
      <c r="G102" s="6" t="s">
        <v>923</v>
      </c>
      <c r="H102" s="6" t="s">
        <v>916</v>
      </c>
    </row>
    <row r="103" customFormat="false" ht="23.85" hidden="false" customHeight="false" outlineLevel="0" collapsed="false">
      <c r="A103" s="7" t="s">
        <v>914</v>
      </c>
      <c r="B103" s="6" t="s">
        <v>132</v>
      </c>
      <c r="C103" s="7" t="n">
        <v>2019</v>
      </c>
      <c r="D103" s="6" t="s">
        <v>133</v>
      </c>
      <c r="E103" s="7" t="s">
        <v>134</v>
      </c>
      <c r="F103" s="6" t="s">
        <v>686</v>
      </c>
      <c r="G103" s="6" t="s">
        <v>923</v>
      </c>
      <c r="H103" s="6" t="s">
        <v>916</v>
      </c>
    </row>
    <row r="104" customFormat="false" ht="23.85" hidden="false" customHeight="false" outlineLevel="0" collapsed="false">
      <c r="A104" s="7" t="s">
        <v>914</v>
      </c>
      <c r="B104" s="6" t="s">
        <v>79</v>
      </c>
      <c r="C104" s="7" t="n">
        <v>2019</v>
      </c>
      <c r="D104" s="6" t="s">
        <v>80</v>
      </c>
      <c r="E104" s="6" t="s">
        <v>77</v>
      </c>
      <c r="F104" s="6" t="s">
        <v>666</v>
      </c>
      <c r="G104" s="6" t="s">
        <v>926</v>
      </c>
      <c r="H104" s="6" t="s">
        <v>916</v>
      </c>
    </row>
    <row r="105" customFormat="false" ht="23.85" hidden="false" customHeight="false" outlineLevel="0" collapsed="false">
      <c r="A105" s="7" t="s">
        <v>914</v>
      </c>
      <c r="B105" s="6" t="s">
        <v>599</v>
      </c>
      <c r="C105" s="7" t="n">
        <v>2019</v>
      </c>
      <c r="D105" s="6" t="s">
        <v>601</v>
      </c>
      <c r="E105" s="6" t="s">
        <v>602</v>
      </c>
      <c r="F105" s="6" t="s">
        <v>838</v>
      </c>
      <c r="G105" s="6" t="s">
        <v>926</v>
      </c>
      <c r="H105" s="6" t="s">
        <v>916</v>
      </c>
    </row>
    <row r="106" customFormat="false" ht="15" hidden="false" customHeight="false" outlineLevel="0" collapsed="false">
      <c r="A106" s="7" t="s">
        <v>914</v>
      </c>
      <c r="B106" s="6" t="s">
        <v>227</v>
      </c>
      <c r="C106" s="7" t="n">
        <v>2019</v>
      </c>
      <c r="D106" s="6" t="s">
        <v>228</v>
      </c>
      <c r="E106" s="6" t="s">
        <v>229</v>
      </c>
      <c r="F106" s="6" t="s">
        <v>705</v>
      </c>
      <c r="G106" s="6" t="s">
        <v>923</v>
      </c>
      <c r="H106" s="6" t="s">
        <v>916</v>
      </c>
    </row>
    <row r="107" customFormat="false" ht="23.85" hidden="false" customHeight="false" outlineLevel="0" collapsed="false">
      <c r="A107" s="7" t="s">
        <v>914</v>
      </c>
      <c r="B107" s="6" t="s">
        <v>136</v>
      </c>
      <c r="C107" s="7" t="n">
        <v>2020</v>
      </c>
      <c r="D107" s="6" t="s">
        <v>137</v>
      </c>
      <c r="E107" s="6" t="s">
        <v>77</v>
      </c>
      <c r="F107" s="6" t="s">
        <v>687</v>
      </c>
      <c r="G107" s="6" t="s">
        <v>923</v>
      </c>
      <c r="H107" s="6" t="s">
        <v>916</v>
      </c>
    </row>
    <row r="108" customFormat="false" ht="15" hidden="false" customHeight="false" outlineLevel="0" collapsed="false">
      <c r="A108" s="7" t="s">
        <v>914</v>
      </c>
      <c r="B108" s="6" t="s">
        <v>139</v>
      </c>
      <c r="C108" s="7" t="n">
        <v>2020</v>
      </c>
      <c r="D108" s="6" t="s">
        <v>140</v>
      </c>
      <c r="E108" s="7" t="s">
        <v>141</v>
      </c>
      <c r="F108" s="6" t="s">
        <v>688</v>
      </c>
      <c r="G108" s="6" t="s">
        <v>923</v>
      </c>
      <c r="H108" s="6" t="s">
        <v>916</v>
      </c>
    </row>
    <row r="109" customFormat="false" ht="15" hidden="false" customHeight="false" outlineLevel="0" collapsed="false">
      <c r="A109" s="7" t="s">
        <v>914</v>
      </c>
      <c r="B109" s="6" t="s">
        <v>143</v>
      </c>
      <c r="C109" s="7" t="n">
        <v>2020</v>
      </c>
      <c r="D109" s="6" t="s">
        <v>144</v>
      </c>
      <c r="E109" s="7" t="s">
        <v>145</v>
      </c>
      <c r="F109" s="6" t="s">
        <v>689</v>
      </c>
      <c r="G109" s="6" t="s">
        <v>923</v>
      </c>
      <c r="H109" s="6" t="s">
        <v>916</v>
      </c>
    </row>
    <row r="110" customFormat="false" ht="23.85" hidden="false" customHeight="false" outlineLevel="0" collapsed="false">
      <c r="A110" s="7" t="s">
        <v>914</v>
      </c>
      <c r="B110" s="6" t="s">
        <v>82</v>
      </c>
      <c r="C110" s="7" t="n">
        <v>2020</v>
      </c>
      <c r="D110" s="6" t="s">
        <v>85</v>
      </c>
      <c r="E110" s="6" t="s">
        <v>86</v>
      </c>
      <c r="F110" s="6" t="s">
        <v>667</v>
      </c>
      <c r="G110" s="6" t="s">
        <v>926</v>
      </c>
      <c r="H110" s="6" t="s">
        <v>916</v>
      </c>
    </row>
    <row r="111" customFormat="false" ht="23.85" hidden="false" customHeight="false" outlineLevel="0" collapsed="false">
      <c r="A111" s="7" t="s">
        <v>914</v>
      </c>
      <c r="B111" s="6" t="s">
        <v>403</v>
      </c>
      <c r="C111" s="7" t="n">
        <v>2020</v>
      </c>
      <c r="D111" s="6" t="s">
        <v>404</v>
      </c>
      <c r="E111" s="6" t="s">
        <v>219</v>
      </c>
      <c r="F111" s="6" t="s">
        <v>772</v>
      </c>
      <c r="G111" s="6" t="s">
        <v>923</v>
      </c>
      <c r="H111" s="6" t="s">
        <v>916</v>
      </c>
    </row>
    <row r="112" customFormat="false" ht="15" hidden="false" customHeight="false" outlineLevel="0" collapsed="false">
      <c r="A112" s="7" t="s">
        <v>914</v>
      </c>
      <c r="B112" s="6" t="s">
        <v>407</v>
      </c>
      <c r="C112" s="7" t="n">
        <v>2020</v>
      </c>
      <c r="D112" s="6" t="s">
        <v>408</v>
      </c>
      <c r="E112" s="6" t="s">
        <v>409</v>
      </c>
      <c r="F112" s="6" t="s">
        <v>766</v>
      </c>
      <c r="G112" s="6" t="s">
        <v>923</v>
      </c>
      <c r="H112" s="6" t="s">
        <v>916</v>
      </c>
    </row>
    <row r="113" customFormat="false" ht="23.85" hidden="false" customHeight="false" outlineLevel="0" collapsed="false">
      <c r="A113" s="7" t="s">
        <v>914</v>
      </c>
      <c r="B113" s="6" t="s">
        <v>353</v>
      </c>
      <c r="C113" s="7" t="n">
        <v>2021</v>
      </c>
      <c r="D113" s="6" t="s">
        <v>354</v>
      </c>
      <c r="E113" s="6" t="s">
        <v>250</v>
      </c>
      <c r="F113" s="6" t="s">
        <v>747</v>
      </c>
      <c r="G113" s="6" t="s">
        <v>923</v>
      </c>
      <c r="H113" s="6" t="s">
        <v>916</v>
      </c>
    </row>
    <row r="114" customFormat="false" ht="23.85" hidden="false" customHeight="false" outlineLevel="0" collapsed="false">
      <c r="A114" s="7" t="s">
        <v>914</v>
      </c>
      <c r="B114" s="6" t="s">
        <v>528</v>
      </c>
      <c r="C114" s="7" t="n">
        <v>2021</v>
      </c>
      <c r="D114" s="6" t="s">
        <v>529</v>
      </c>
      <c r="E114" s="6" t="s">
        <v>67</v>
      </c>
      <c r="F114" s="6" t="s">
        <v>811</v>
      </c>
      <c r="G114" s="6" t="s">
        <v>923</v>
      </c>
      <c r="H114" s="6" t="s">
        <v>916</v>
      </c>
    </row>
    <row r="115" customFormat="false" ht="23.85" hidden="false" customHeight="false" outlineLevel="0" collapsed="false">
      <c r="A115" s="7" t="s">
        <v>914</v>
      </c>
      <c r="B115" s="6" t="s">
        <v>531</v>
      </c>
      <c r="C115" s="7" t="n">
        <v>2021</v>
      </c>
      <c r="D115" s="6" t="s">
        <v>532</v>
      </c>
      <c r="E115" s="6" t="s">
        <v>533</v>
      </c>
      <c r="F115" s="6" t="s">
        <v>812</v>
      </c>
      <c r="G115" s="6" t="s">
        <v>923</v>
      </c>
      <c r="H115" s="6" t="s">
        <v>916</v>
      </c>
    </row>
    <row r="116" customFormat="false" ht="23.85" hidden="false" customHeight="false" outlineLevel="0" collapsed="false">
      <c r="A116" s="7" t="s">
        <v>914</v>
      </c>
      <c r="B116" s="6" t="s">
        <v>31</v>
      </c>
      <c r="C116" s="7" t="n">
        <v>2021</v>
      </c>
      <c r="D116" s="6" t="s">
        <v>35</v>
      </c>
      <c r="E116" s="6" t="s">
        <v>36</v>
      </c>
      <c r="F116" s="6" t="s">
        <v>650</v>
      </c>
      <c r="G116" s="6" t="s">
        <v>923</v>
      </c>
      <c r="H116" s="6" t="s">
        <v>916</v>
      </c>
    </row>
    <row r="117" customFormat="false" ht="23.85" hidden="false" customHeight="false" outlineLevel="0" collapsed="false">
      <c r="A117" s="7" t="s">
        <v>914</v>
      </c>
      <c r="B117" s="6" t="s">
        <v>535</v>
      </c>
      <c r="C117" s="7" t="n">
        <v>2021</v>
      </c>
      <c r="D117" s="6" t="s">
        <v>537</v>
      </c>
      <c r="E117" s="6" t="s">
        <v>538</v>
      </c>
      <c r="F117" s="6" t="s">
        <v>815</v>
      </c>
      <c r="G117" s="6" t="s">
        <v>923</v>
      </c>
      <c r="H117" s="6" t="s">
        <v>916</v>
      </c>
    </row>
    <row r="118" customFormat="false" ht="23.85" hidden="false" customHeight="false" outlineLevel="0" collapsed="false">
      <c r="A118" s="7" t="s">
        <v>914</v>
      </c>
      <c r="B118" s="6" t="s">
        <v>147</v>
      </c>
      <c r="C118" s="7" t="n">
        <v>2022</v>
      </c>
      <c r="D118" s="6" t="s">
        <v>148</v>
      </c>
      <c r="E118" s="6" t="s">
        <v>149</v>
      </c>
      <c r="F118" s="6" t="s">
        <v>690</v>
      </c>
      <c r="G118" s="6" t="s">
        <v>923</v>
      </c>
      <c r="H118" s="6" t="s">
        <v>916</v>
      </c>
    </row>
    <row r="119" customFormat="false" ht="15" hidden="false" customHeight="false" outlineLevel="0" collapsed="false">
      <c r="A119" s="7" t="s">
        <v>914</v>
      </c>
      <c r="B119" s="6" t="s">
        <v>437</v>
      </c>
      <c r="C119" s="7" t="n">
        <v>2022</v>
      </c>
      <c r="D119" s="6" t="s">
        <v>438</v>
      </c>
      <c r="E119" s="6" t="s">
        <v>439</v>
      </c>
      <c r="F119" s="6" t="s">
        <v>775</v>
      </c>
      <c r="G119" s="6" t="s">
        <v>923</v>
      </c>
      <c r="H119" s="6" t="s">
        <v>916</v>
      </c>
    </row>
    <row r="120" customFormat="false" ht="23.85" hidden="false" customHeight="false" outlineLevel="0" collapsed="false">
      <c r="A120" s="7" t="s">
        <v>914</v>
      </c>
      <c r="B120" s="6" t="s">
        <v>88</v>
      </c>
      <c r="C120" s="7" t="n">
        <v>2023</v>
      </c>
      <c r="D120" s="6" t="s">
        <v>89</v>
      </c>
      <c r="E120" s="6" t="s">
        <v>90</v>
      </c>
      <c r="F120" s="6" t="s">
        <v>668</v>
      </c>
      <c r="G120" s="6" t="s">
        <v>923</v>
      </c>
      <c r="H120" s="6" t="s">
        <v>916</v>
      </c>
    </row>
    <row r="121" customFormat="false" ht="15" hidden="false" customHeight="false" outlineLevel="0" collapsed="false">
      <c r="A121" s="7" t="s">
        <v>914</v>
      </c>
      <c r="B121" s="6" t="s">
        <v>541</v>
      </c>
      <c r="C121" s="7" t="n">
        <v>2023</v>
      </c>
      <c r="D121" s="6" t="s">
        <v>542</v>
      </c>
      <c r="E121" s="6" t="s">
        <v>162</v>
      </c>
      <c r="F121" s="6" t="s">
        <v>816</v>
      </c>
      <c r="G121" s="6" t="s">
        <v>923</v>
      </c>
      <c r="H121" s="6" t="s">
        <v>916</v>
      </c>
    </row>
    <row r="122" customFormat="false" ht="23.85" hidden="false" customHeight="false" outlineLevel="0" collapsed="false">
      <c r="A122" s="7" t="s">
        <v>914</v>
      </c>
      <c r="B122" s="6" t="s">
        <v>545</v>
      </c>
      <c r="C122" s="7" t="n">
        <v>2023</v>
      </c>
      <c r="D122" s="6" t="s">
        <v>546</v>
      </c>
      <c r="E122" s="6" t="s">
        <v>219</v>
      </c>
      <c r="F122" s="6" t="s">
        <v>817</v>
      </c>
      <c r="G122" s="6" t="s">
        <v>923</v>
      </c>
      <c r="H122" s="6" t="s">
        <v>916</v>
      </c>
    </row>
    <row r="123" customFormat="false" ht="23.85" hidden="false" customHeight="false" outlineLevel="0" collapsed="false">
      <c r="A123" s="7" t="s">
        <v>914</v>
      </c>
      <c r="B123" s="6" t="s">
        <v>151</v>
      </c>
      <c r="C123" s="7" t="n">
        <v>2024</v>
      </c>
      <c r="D123" s="6" t="s">
        <v>152</v>
      </c>
      <c r="E123" s="7" t="s">
        <v>153</v>
      </c>
      <c r="F123" s="6" t="s">
        <v>691</v>
      </c>
      <c r="G123" s="6" t="s">
        <v>923</v>
      </c>
      <c r="H123" s="6" t="s">
        <v>916</v>
      </c>
    </row>
    <row r="124" customFormat="false" ht="23.85" hidden="false" customHeight="false" outlineLevel="0" collapsed="false">
      <c r="A124" s="7" t="s">
        <v>914</v>
      </c>
      <c r="B124" s="6" t="s">
        <v>155</v>
      </c>
      <c r="C124" s="7" t="n">
        <v>2024</v>
      </c>
      <c r="D124" s="6" t="s">
        <v>156</v>
      </c>
      <c r="E124" s="6" t="s">
        <v>157</v>
      </c>
      <c r="F124" s="6" t="s">
        <v>692</v>
      </c>
      <c r="G124" s="6" t="s">
        <v>923</v>
      </c>
      <c r="H124" s="6" t="s">
        <v>916</v>
      </c>
    </row>
    <row r="125" customFormat="false" ht="23.85" hidden="false" customHeight="false" outlineLevel="0" collapsed="false">
      <c r="A125" s="7" t="s">
        <v>914</v>
      </c>
      <c r="B125" s="6" t="s">
        <v>412</v>
      </c>
      <c r="C125" s="7" t="n">
        <v>2024</v>
      </c>
      <c r="D125" s="6" t="s">
        <v>413</v>
      </c>
      <c r="E125" s="6" t="s">
        <v>237</v>
      </c>
      <c r="F125" s="6" t="s">
        <v>767</v>
      </c>
      <c r="G125" s="6" t="s">
        <v>923</v>
      </c>
      <c r="H125" s="6" t="s">
        <v>916</v>
      </c>
    </row>
    <row r="126" customFormat="false" ht="23.85" hidden="false" customHeight="false" outlineLevel="0" collapsed="false">
      <c r="A126" s="7" t="s">
        <v>914</v>
      </c>
      <c r="B126" s="6" t="s">
        <v>548</v>
      </c>
      <c r="C126" s="7" t="n">
        <v>2024</v>
      </c>
      <c r="D126" s="6" t="s">
        <v>549</v>
      </c>
      <c r="E126" s="6" t="s">
        <v>219</v>
      </c>
      <c r="F126" s="6" t="s">
        <v>818</v>
      </c>
      <c r="G126" s="6" t="s">
        <v>923</v>
      </c>
      <c r="H126" s="6" t="s">
        <v>916</v>
      </c>
    </row>
    <row r="127" customFormat="false" ht="23.85" hidden="false" customHeight="false" outlineLevel="0" collapsed="false">
      <c r="A127" s="7" t="s">
        <v>914</v>
      </c>
      <c r="B127" s="6" t="s">
        <v>551</v>
      </c>
      <c r="C127" s="7" t="n">
        <v>2025</v>
      </c>
      <c r="D127" s="6" t="s">
        <v>552</v>
      </c>
      <c r="E127" s="6" t="s">
        <v>553</v>
      </c>
      <c r="F127" s="6" t="s">
        <v>819</v>
      </c>
      <c r="G127" s="6" t="s">
        <v>923</v>
      </c>
      <c r="H127" s="6" t="s">
        <v>916</v>
      </c>
    </row>
    <row r="128" customFormat="false" ht="23.85" hidden="false" customHeight="false" outlineLevel="0" collapsed="false">
      <c r="A128" s="7" t="s">
        <v>914</v>
      </c>
      <c r="B128" s="6" t="s">
        <v>555</v>
      </c>
      <c r="C128" s="7" t="n">
        <v>2025</v>
      </c>
      <c r="D128" s="6" t="s">
        <v>556</v>
      </c>
      <c r="E128" s="6" t="s">
        <v>557</v>
      </c>
      <c r="F128" s="6" t="s">
        <v>820</v>
      </c>
      <c r="G128" s="6" t="s">
        <v>923</v>
      </c>
      <c r="H128" s="6" t="s">
        <v>916</v>
      </c>
    </row>
    <row r="129" customFormat="false" ht="23.85" hidden="false" customHeight="false" outlineLevel="0" collapsed="false">
      <c r="A129" s="7" t="s">
        <v>914</v>
      </c>
      <c r="B129" s="6" t="s">
        <v>185</v>
      </c>
      <c r="C129" s="7" t="n">
        <v>2026</v>
      </c>
      <c r="D129" s="6" t="s">
        <v>186</v>
      </c>
      <c r="E129" s="6" t="s">
        <v>187</v>
      </c>
      <c r="F129" s="6" t="s">
        <v>696</v>
      </c>
      <c r="G129" s="6" t="s">
        <v>923</v>
      </c>
      <c r="H129" s="6" t="s">
        <v>916</v>
      </c>
    </row>
    <row r="130" customFormat="false" ht="23.85" hidden="false" customHeight="false" outlineLevel="0" collapsed="false">
      <c r="A130" s="7" t="s">
        <v>914</v>
      </c>
      <c r="B130" s="6" t="s">
        <v>190</v>
      </c>
      <c r="C130" s="7" t="n">
        <v>2026</v>
      </c>
      <c r="D130" s="6" t="s">
        <v>191</v>
      </c>
      <c r="E130" s="6" t="s">
        <v>192</v>
      </c>
      <c r="F130" s="6" t="s">
        <v>697</v>
      </c>
      <c r="G130" s="6" t="s">
        <v>923</v>
      </c>
      <c r="H130" s="6" t="s">
        <v>916</v>
      </c>
    </row>
    <row r="131" customFormat="false" ht="15" hidden="false" customHeight="false" outlineLevel="0" collapsed="false">
      <c r="A131" s="7" t="s">
        <v>914</v>
      </c>
      <c r="B131" s="6" t="s">
        <v>559</v>
      </c>
      <c r="C131" s="7" t="n">
        <v>2026</v>
      </c>
      <c r="D131" s="6" t="s">
        <v>560</v>
      </c>
      <c r="E131" s="6" t="s">
        <v>561</v>
      </c>
      <c r="F131" s="6" t="s">
        <v>821</v>
      </c>
      <c r="G131" s="6" t="s">
        <v>923</v>
      </c>
      <c r="H131" s="6" t="s">
        <v>916</v>
      </c>
    </row>
    <row r="132" customFormat="false" ht="23.85" hidden="false" customHeight="false" outlineLevel="0" collapsed="false">
      <c r="A132" s="7" t="s">
        <v>914</v>
      </c>
      <c r="B132" s="6" t="s">
        <v>442</v>
      </c>
      <c r="C132" s="7" t="n">
        <v>2026</v>
      </c>
      <c r="D132" s="6" t="s">
        <v>443</v>
      </c>
      <c r="E132" s="6" t="s">
        <v>250</v>
      </c>
      <c r="F132" s="6" t="s">
        <v>776</v>
      </c>
      <c r="G132" s="6" t="s">
        <v>923</v>
      </c>
      <c r="H132" s="6" t="s">
        <v>916</v>
      </c>
    </row>
    <row r="133" customFormat="false" ht="15" hidden="false" customHeight="false" outlineLevel="0" collapsed="false">
      <c r="A133" s="7" t="s">
        <v>914</v>
      </c>
      <c r="B133" s="6" t="s">
        <v>564</v>
      </c>
      <c r="C133" s="7" t="n">
        <v>2026</v>
      </c>
      <c r="D133" s="6" t="s">
        <v>565</v>
      </c>
      <c r="E133" s="6" t="s">
        <v>566</v>
      </c>
      <c r="F133" s="6" t="s">
        <v>822</v>
      </c>
      <c r="G133" s="6" t="s">
        <v>923</v>
      </c>
      <c r="H133" s="6" t="s">
        <v>916</v>
      </c>
    </row>
    <row r="134" customFormat="false" ht="15" hidden="false" customHeight="false" outlineLevel="0" collapsed="false">
      <c r="A134" s="7" t="s">
        <v>914</v>
      </c>
      <c r="B134" s="6" t="s">
        <v>578</v>
      </c>
      <c r="C134" s="7" t="n">
        <v>2013</v>
      </c>
      <c r="D134" s="6" t="s">
        <v>579</v>
      </c>
      <c r="E134" s="6" t="s">
        <v>198</v>
      </c>
      <c r="F134" s="6" t="s">
        <v>829</v>
      </c>
      <c r="G134" s="6" t="s">
        <v>927</v>
      </c>
      <c r="H134" s="6" t="s">
        <v>916</v>
      </c>
    </row>
    <row r="135" customFormat="false" ht="23.85" hidden="false" customHeight="false" outlineLevel="0" collapsed="false">
      <c r="A135" s="7" t="s">
        <v>914</v>
      </c>
      <c r="B135" s="6" t="s">
        <v>581</v>
      </c>
      <c r="C135" s="7" t="n">
        <v>2015</v>
      </c>
      <c r="D135" s="6" t="s">
        <v>582</v>
      </c>
      <c r="E135" s="6" t="s">
        <v>250</v>
      </c>
      <c r="F135" s="6" t="s">
        <v>830</v>
      </c>
      <c r="G135" s="6" t="s">
        <v>927</v>
      </c>
      <c r="H135" s="6" t="s">
        <v>916</v>
      </c>
    </row>
    <row r="136" customFormat="false" ht="23.85" hidden="false" customHeight="false" outlineLevel="0" collapsed="false">
      <c r="A136" s="7" t="s">
        <v>914</v>
      </c>
      <c r="B136" s="6" t="s">
        <v>584</v>
      </c>
      <c r="C136" s="7" t="n">
        <v>2015</v>
      </c>
      <c r="D136" s="6" t="s">
        <v>585</v>
      </c>
      <c r="E136" s="6" t="s">
        <v>250</v>
      </c>
      <c r="F136" s="6" t="s">
        <v>831</v>
      </c>
      <c r="G136" s="6" t="s">
        <v>927</v>
      </c>
      <c r="H136" s="6" t="s">
        <v>916</v>
      </c>
    </row>
    <row r="137" customFormat="false" ht="23.85" hidden="false" customHeight="false" outlineLevel="0" collapsed="false">
      <c r="A137" s="7" t="s">
        <v>914</v>
      </c>
      <c r="B137" s="6" t="s">
        <v>604</v>
      </c>
      <c r="C137" s="7" t="n">
        <v>2016</v>
      </c>
      <c r="D137" s="6" t="s">
        <v>605</v>
      </c>
      <c r="E137" s="6" t="s">
        <v>219</v>
      </c>
      <c r="F137" s="6" t="s">
        <v>836</v>
      </c>
      <c r="G137" s="6" t="s">
        <v>927</v>
      </c>
      <c r="H137" s="6" t="s">
        <v>916</v>
      </c>
    </row>
    <row r="138" customFormat="false" ht="15" hidden="false" customHeight="false" outlineLevel="0" collapsed="false">
      <c r="A138" s="7" t="s">
        <v>914</v>
      </c>
      <c r="B138" s="6" t="s">
        <v>607</v>
      </c>
      <c r="C138" s="7" t="n">
        <v>2017</v>
      </c>
      <c r="D138" s="6" t="s">
        <v>608</v>
      </c>
      <c r="E138" s="6" t="s">
        <v>162</v>
      </c>
      <c r="F138" s="6" t="s">
        <v>837</v>
      </c>
      <c r="G138" s="6" t="s">
        <v>927</v>
      </c>
      <c r="H138" s="6" t="s">
        <v>916</v>
      </c>
    </row>
    <row r="139" customFormat="false" ht="15" hidden="false" customHeight="false" outlineLevel="0" collapsed="false">
      <c r="A139" s="7" t="s">
        <v>914</v>
      </c>
      <c r="B139" s="6" t="s">
        <v>587</v>
      </c>
      <c r="C139" s="7" t="n">
        <v>2018</v>
      </c>
      <c r="D139" s="6" t="s">
        <v>588</v>
      </c>
      <c r="E139" s="6" t="s">
        <v>589</v>
      </c>
      <c r="F139" s="6" t="s">
        <v>827</v>
      </c>
      <c r="G139" s="6" t="s">
        <v>927</v>
      </c>
      <c r="H139" s="6" t="s">
        <v>916</v>
      </c>
    </row>
    <row r="140" customFormat="false" ht="15" hidden="false" customHeight="false" outlineLevel="0" collapsed="false">
      <c r="A140" s="7" t="s">
        <v>914</v>
      </c>
      <c r="B140" s="6" t="s">
        <v>610</v>
      </c>
      <c r="C140" s="7" t="n">
        <v>2020</v>
      </c>
      <c r="D140" s="6" t="s">
        <v>611</v>
      </c>
      <c r="E140" s="6" t="s">
        <v>162</v>
      </c>
      <c r="F140" s="6" t="s">
        <v>839</v>
      </c>
      <c r="G140" s="6" t="s">
        <v>927</v>
      </c>
      <c r="H140" s="6" t="s">
        <v>916</v>
      </c>
    </row>
    <row r="141" customFormat="false" ht="23.85" hidden="false" customHeight="false" outlineLevel="0" collapsed="false">
      <c r="A141" s="7" t="s">
        <v>914</v>
      </c>
      <c r="B141" s="6" t="s">
        <v>613</v>
      </c>
      <c r="C141" s="7" t="n">
        <v>2020</v>
      </c>
      <c r="D141" s="6" t="s">
        <v>614</v>
      </c>
      <c r="E141" s="6" t="s">
        <v>250</v>
      </c>
      <c r="F141" s="6" t="s">
        <v>840</v>
      </c>
      <c r="G141" s="6" t="s">
        <v>927</v>
      </c>
      <c r="H141" s="6" t="s">
        <v>916</v>
      </c>
    </row>
    <row r="142" customFormat="false" ht="15" hidden="false" customHeight="false" outlineLevel="0" collapsed="false">
      <c r="A142" s="7" t="s">
        <v>914</v>
      </c>
      <c r="B142" s="6" t="s">
        <v>592</v>
      </c>
      <c r="C142" s="7" t="n">
        <v>2020</v>
      </c>
      <c r="D142" s="6" t="s">
        <v>593</v>
      </c>
      <c r="E142" s="6" t="s">
        <v>594</v>
      </c>
      <c r="F142" s="6" t="s">
        <v>825</v>
      </c>
      <c r="G142" s="6" t="s">
        <v>928</v>
      </c>
      <c r="H142" s="6" t="s">
        <v>916</v>
      </c>
    </row>
    <row r="143" customFormat="false" ht="23.85" hidden="false" customHeight="false" outlineLevel="0" collapsed="false">
      <c r="A143" s="7" t="s">
        <v>914</v>
      </c>
      <c r="B143" s="6" t="s">
        <v>617</v>
      </c>
      <c r="C143" s="7" t="n">
        <v>2021</v>
      </c>
      <c r="D143" s="6" t="s">
        <v>618</v>
      </c>
      <c r="E143" s="6" t="s">
        <v>267</v>
      </c>
      <c r="F143" s="6" t="s">
        <v>841</v>
      </c>
      <c r="G143" s="6" t="s">
        <v>927</v>
      </c>
      <c r="H143" s="6" t="s">
        <v>916</v>
      </c>
    </row>
    <row r="144" customFormat="false" ht="15" hidden="false" customHeight="false" outlineLevel="0" collapsed="false">
      <c r="A144" s="7" t="s">
        <v>914</v>
      </c>
      <c r="B144" s="6" t="s">
        <v>621</v>
      </c>
      <c r="C144" s="7" t="n">
        <v>2023</v>
      </c>
      <c r="D144" s="6" t="s">
        <v>622</v>
      </c>
      <c r="E144" s="6" t="s">
        <v>623</v>
      </c>
      <c r="F144" s="6" t="s">
        <v>835</v>
      </c>
      <c r="G144" s="6" t="s">
        <v>927</v>
      </c>
      <c r="H144" s="6" t="s">
        <v>916</v>
      </c>
    </row>
    <row r="145" customFormat="false" ht="23.85" hidden="false" customHeight="false" outlineLevel="0" collapsed="false">
      <c r="A145" s="7" t="s">
        <v>914</v>
      </c>
      <c r="B145" s="6" t="s">
        <v>626</v>
      </c>
      <c r="C145" s="7" t="n">
        <v>2023</v>
      </c>
      <c r="D145" s="6" t="s">
        <v>627</v>
      </c>
      <c r="E145" s="6" t="s">
        <v>330</v>
      </c>
      <c r="F145" s="6" t="s">
        <v>842</v>
      </c>
      <c r="G145" s="6" t="s">
        <v>927</v>
      </c>
      <c r="H145" s="6" t="s">
        <v>916</v>
      </c>
    </row>
    <row r="146" customFormat="false" ht="23.85" hidden="false" customHeight="false" outlineLevel="0" collapsed="false">
      <c r="A146" s="7" t="s">
        <v>914</v>
      </c>
      <c r="B146" s="6" t="s">
        <v>630</v>
      </c>
      <c r="C146" s="7" t="n">
        <v>2024</v>
      </c>
      <c r="D146" s="6" t="s">
        <v>632</v>
      </c>
      <c r="E146" s="6" t="s">
        <v>219</v>
      </c>
      <c r="F146" s="6" t="s">
        <v>845</v>
      </c>
      <c r="G146" s="6" t="s">
        <v>927</v>
      </c>
      <c r="H146" s="6" t="s">
        <v>916</v>
      </c>
    </row>
    <row r="147" customFormat="false" ht="23.85" hidden="false" customHeight="false" outlineLevel="0" collapsed="false">
      <c r="A147" s="7" t="s">
        <v>914</v>
      </c>
      <c r="B147" s="6" t="s">
        <v>634</v>
      </c>
      <c r="C147" s="7" t="n">
        <v>2026</v>
      </c>
      <c r="D147" s="6" t="s">
        <v>635</v>
      </c>
      <c r="E147" s="6" t="s">
        <v>307</v>
      </c>
      <c r="F147" s="6" t="s">
        <v>846</v>
      </c>
      <c r="G147" s="6" t="s">
        <v>927</v>
      </c>
      <c r="H147" s="6" t="s">
        <v>916</v>
      </c>
    </row>
    <row r="148" customFormat="false" ht="15" hidden="false" customHeight="false" outlineLevel="0" collapsed="false">
      <c r="A148" s="7" t="s">
        <v>914</v>
      </c>
      <c r="B148" s="6" t="s">
        <v>596</v>
      </c>
      <c r="C148" s="7" t="n">
        <v>2026</v>
      </c>
      <c r="D148" s="6" t="s">
        <v>597</v>
      </c>
      <c r="E148" s="6" t="s">
        <v>296</v>
      </c>
      <c r="F148" s="6" t="s">
        <v>828</v>
      </c>
      <c r="G148" s="6" t="s">
        <v>927</v>
      </c>
      <c r="H148" s="6" t="s">
        <v>916</v>
      </c>
    </row>
    <row r="149" customFormat="false" ht="35.05" hidden="false" customHeight="false" outlineLevel="0" collapsed="false">
      <c r="A149" s="7" t="s">
        <v>914</v>
      </c>
      <c r="B149" s="6" t="s">
        <v>92</v>
      </c>
      <c r="C149" s="7" t="n">
        <v>2026</v>
      </c>
      <c r="D149" s="6" t="s">
        <v>93</v>
      </c>
      <c r="E149" s="7" t="s">
        <v>94</v>
      </c>
      <c r="F149" s="6" t="s">
        <v>669</v>
      </c>
      <c r="G149" s="6" t="s">
        <v>927</v>
      </c>
      <c r="H149" s="6" t="s">
        <v>916</v>
      </c>
    </row>
    <row r="150" customFormat="false" ht="15" hidden="false" customHeight="false" outlineLevel="0" collapsed="false">
      <c r="A150" s="7" t="s">
        <v>929</v>
      </c>
      <c r="B150" s="7"/>
      <c r="C150" s="7" t="n">
        <v>1988</v>
      </c>
      <c r="D150" s="6" t="s">
        <v>930</v>
      </c>
      <c r="E150" s="6" t="s">
        <v>162</v>
      </c>
      <c r="F150" s="6" t="s">
        <v>931</v>
      </c>
      <c r="G150" s="6" t="s">
        <v>932</v>
      </c>
      <c r="H150" s="6" t="s">
        <v>916</v>
      </c>
    </row>
    <row r="151" customFormat="false" ht="15" hidden="false" customHeight="false" outlineLevel="0" collapsed="false">
      <c r="A151" s="7" t="s">
        <v>929</v>
      </c>
      <c r="B151" s="7"/>
      <c r="C151" s="7" t="n">
        <v>1992</v>
      </c>
      <c r="D151" s="6" t="s">
        <v>933</v>
      </c>
      <c r="E151" s="6" t="s">
        <v>162</v>
      </c>
      <c r="F151" s="6" t="s">
        <v>934</v>
      </c>
      <c r="G151" s="6" t="s">
        <v>932</v>
      </c>
      <c r="H151" s="6" t="s">
        <v>916</v>
      </c>
    </row>
    <row r="152" customFormat="false" ht="15" hidden="false" customHeight="false" outlineLevel="0" collapsed="false">
      <c r="A152" s="7" t="s">
        <v>929</v>
      </c>
      <c r="B152" s="7"/>
      <c r="C152" s="7" t="n">
        <v>1994</v>
      </c>
      <c r="D152" s="6" t="s">
        <v>935</v>
      </c>
      <c r="E152" s="6" t="s">
        <v>162</v>
      </c>
      <c r="F152" s="6" t="s">
        <v>936</v>
      </c>
      <c r="G152" s="6" t="s">
        <v>932</v>
      </c>
      <c r="H152" s="6" t="s">
        <v>916</v>
      </c>
    </row>
    <row r="153" customFormat="false" ht="23.85" hidden="false" customHeight="false" outlineLevel="0" collapsed="false">
      <c r="A153" s="7" t="s">
        <v>929</v>
      </c>
      <c r="B153" s="7"/>
      <c r="C153" s="7" t="n">
        <v>1995</v>
      </c>
      <c r="D153" s="6" t="s">
        <v>937</v>
      </c>
      <c r="E153" s="6" t="s">
        <v>938</v>
      </c>
      <c r="F153" s="6" t="s">
        <v>939</v>
      </c>
      <c r="G153" s="6" t="s">
        <v>932</v>
      </c>
      <c r="H153" s="6" t="s">
        <v>916</v>
      </c>
    </row>
    <row r="154" customFormat="false" ht="15" hidden="false" customHeight="false" outlineLevel="0" collapsed="false">
      <c r="A154" s="7" t="s">
        <v>929</v>
      </c>
      <c r="B154" s="7"/>
      <c r="C154" s="7" t="n">
        <v>1999</v>
      </c>
      <c r="D154" s="6" t="s">
        <v>940</v>
      </c>
      <c r="E154" s="6" t="s">
        <v>941</v>
      </c>
      <c r="F154" s="6" t="s">
        <v>942</v>
      </c>
      <c r="G154" s="6" t="s">
        <v>932</v>
      </c>
      <c r="H154" s="6" t="s">
        <v>916</v>
      </c>
    </row>
    <row r="155" customFormat="false" ht="15" hidden="false" customHeight="false" outlineLevel="0" collapsed="false">
      <c r="A155" s="7" t="s">
        <v>929</v>
      </c>
      <c r="B155" s="7"/>
      <c r="C155" s="7" t="n">
        <v>2001</v>
      </c>
      <c r="D155" s="6" t="s">
        <v>943</v>
      </c>
      <c r="E155" s="6" t="s">
        <v>229</v>
      </c>
      <c r="F155" s="6" t="s">
        <v>944</v>
      </c>
      <c r="G155" s="6" t="s">
        <v>932</v>
      </c>
      <c r="H155" s="6" t="s">
        <v>916</v>
      </c>
    </row>
    <row r="156" customFormat="false" ht="23.85" hidden="false" customHeight="false" outlineLevel="0" collapsed="false">
      <c r="A156" s="7" t="s">
        <v>929</v>
      </c>
      <c r="B156" s="7"/>
      <c r="C156" s="7" t="n">
        <v>2004</v>
      </c>
      <c r="D156" s="6" t="s">
        <v>945</v>
      </c>
      <c r="E156" s="6" t="s">
        <v>946</v>
      </c>
      <c r="F156" s="6" t="s">
        <v>947</v>
      </c>
      <c r="G156" s="6" t="s">
        <v>948</v>
      </c>
      <c r="H156" s="6" t="s">
        <v>925</v>
      </c>
    </row>
    <row r="157" customFormat="false" ht="15" hidden="false" customHeight="false" outlineLevel="0" collapsed="false">
      <c r="A157" s="7" t="s">
        <v>929</v>
      </c>
      <c r="B157" s="7"/>
      <c r="C157" s="7" t="n">
        <v>2008</v>
      </c>
      <c r="D157" s="6" t="s">
        <v>949</v>
      </c>
      <c r="E157" s="6" t="s">
        <v>162</v>
      </c>
      <c r="F157" s="6" t="s">
        <v>950</v>
      </c>
      <c r="G157" s="6" t="s">
        <v>932</v>
      </c>
      <c r="H157" s="6" t="s">
        <v>916</v>
      </c>
    </row>
    <row r="158" customFormat="false" ht="15" hidden="false" customHeight="false" outlineLevel="0" collapsed="false">
      <c r="A158" s="7" t="s">
        <v>929</v>
      </c>
      <c r="B158" s="7"/>
      <c r="C158" s="7" t="n">
        <v>2009</v>
      </c>
      <c r="D158" s="6" t="s">
        <v>951</v>
      </c>
      <c r="E158" s="6" t="s">
        <v>952</v>
      </c>
      <c r="F158" s="6" t="s">
        <v>953</v>
      </c>
      <c r="G158" s="6" t="s">
        <v>932</v>
      </c>
      <c r="H158" s="6" t="s">
        <v>916</v>
      </c>
    </row>
    <row r="159" customFormat="false" ht="23.85" hidden="false" customHeight="false" outlineLevel="0" collapsed="false">
      <c r="A159" s="7" t="s">
        <v>929</v>
      </c>
      <c r="B159" s="7"/>
      <c r="C159" s="7" t="n">
        <v>2011</v>
      </c>
      <c r="D159" s="6" t="s">
        <v>954</v>
      </c>
      <c r="E159" s="6" t="s">
        <v>245</v>
      </c>
      <c r="F159" s="6" t="s">
        <v>955</v>
      </c>
      <c r="G159" s="6" t="s">
        <v>932</v>
      </c>
      <c r="H159" s="6" t="s">
        <v>916</v>
      </c>
    </row>
    <row r="160" customFormat="false" ht="23.85" hidden="false" customHeight="false" outlineLevel="0" collapsed="false">
      <c r="A160" s="7" t="s">
        <v>929</v>
      </c>
      <c r="B160" s="7"/>
      <c r="C160" s="7" t="n">
        <v>2011</v>
      </c>
      <c r="D160" s="6" t="s">
        <v>956</v>
      </c>
      <c r="E160" s="6" t="s">
        <v>957</v>
      </c>
      <c r="F160" s="6" t="s">
        <v>958</v>
      </c>
      <c r="G160" s="6" t="s">
        <v>932</v>
      </c>
      <c r="H160" s="6" t="s">
        <v>925</v>
      </c>
    </row>
    <row r="161" customFormat="false" ht="15" hidden="false" customHeight="false" outlineLevel="0" collapsed="false">
      <c r="A161" s="7" t="s">
        <v>929</v>
      </c>
      <c r="B161" s="7"/>
      <c r="C161" s="7" t="n">
        <v>2012</v>
      </c>
      <c r="D161" s="6" t="s">
        <v>959</v>
      </c>
      <c r="E161" s="6" t="s">
        <v>162</v>
      </c>
      <c r="F161" s="6" t="s">
        <v>960</v>
      </c>
      <c r="G161" s="6" t="s">
        <v>932</v>
      </c>
      <c r="H161" s="6" t="s">
        <v>916</v>
      </c>
    </row>
    <row r="162" customFormat="false" ht="15" hidden="false" customHeight="false" outlineLevel="0" collapsed="false">
      <c r="A162" s="7" t="s">
        <v>929</v>
      </c>
      <c r="B162" s="7"/>
      <c r="C162" s="7" t="n">
        <v>2012</v>
      </c>
      <c r="D162" s="6" t="s">
        <v>961</v>
      </c>
      <c r="E162" s="6" t="s">
        <v>952</v>
      </c>
      <c r="F162" s="6" t="s">
        <v>962</v>
      </c>
      <c r="G162" s="6" t="s">
        <v>932</v>
      </c>
      <c r="H162" s="6" t="s">
        <v>916</v>
      </c>
    </row>
    <row r="163" customFormat="false" ht="15" hidden="false" customHeight="false" outlineLevel="0" collapsed="false">
      <c r="A163" s="7" t="s">
        <v>929</v>
      </c>
      <c r="B163" s="7"/>
      <c r="C163" s="7" t="n">
        <v>2012</v>
      </c>
      <c r="D163" s="6" t="s">
        <v>963</v>
      </c>
      <c r="E163" s="6" t="s">
        <v>229</v>
      </c>
      <c r="F163" s="6" t="s">
        <v>964</v>
      </c>
      <c r="G163" s="6" t="s">
        <v>965</v>
      </c>
      <c r="H163" s="6" t="s">
        <v>916</v>
      </c>
    </row>
    <row r="164" customFormat="false" ht="23.85" hidden="false" customHeight="false" outlineLevel="0" collapsed="false">
      <c r="A164" s="7" t="s">
        <v>929</v>
      </c>
      <c r="B164" s="7"/>
      <c r="C164" s="7" t="n">
        <v>2012</v>
      </c>
      <c r="D164" s="6" t="s">
        <v>966</v>
      </c>
      <c r="E164" s="6" t="s">
        <v>967</v>
      </c>
      <c r="F164" s="6" t="s">
        <v>968</v>
      </c>
      <c r="G164" s="6" t="s">
        <v>932</v>
      </c>
      <c r="H164" s="6" t="s">
        <v>916</v>
      </c>
    </row>
    <row r="165" customFormat="false" ht="15" hidden="false" customHeight="false" outlineLevel="0" collapsed="false">
      <c r="A165" s="7" t="s">
        <v>929</v>
      </c>
      <c r="B165" s="7"/>
      <c r="C165" s="7" t="n">
        <v>2013</v>
      </c>
      <c r="D165" s="6" t="s">
        <v>969</v>
      </c>
      <c r="E165" s="6" t="s">
        <v>198</v>
      </c>
      <c r="F165" s="6" t="s">
        <v>970</v>
      </c>
      <c r="G165" s="6" t="s">
        <v>932</v>
      </c>
      <c r="H165" s="6" t="s">
        <v>916</v>
      </c>
    </row>
    <row r="166" customFormat="false" ht="15" hidden="false" customHeight="false" outlineLevel="0" collapsed="false">
      <c r="A166" s="7" t="s">
        <v>929</v>
      </c>
      <c r="B166" s="7"/>
      <c r="C166" s="7" t="n">
        <v>2014</v>
      </c>
      <c r="D166" s="6" t="s">
        <v>971</v>
      </c>
      <c r="E166" s="6" t="s">
        <v>594</v>
      </c>
      <c r="F166" s="6" t="s">
        <v>972</v>
      </c>
      <c r="G166" s="6" t="s">
        <v>932</v>
      </c>
      <c r="H166" s="6" t="s">
        <v>916</v>
      </c>
    </row>
    <row r="167" customFormat="false" ht="23.85" hidden="false" customHeight="false" outlineLevel="0" collapsed="false">
      <c r="A167" s="7" t="s">
        <v>929</v>
      </c>
      <c r="B167" s="7"/>
      <c r="C167" s="7" t="n">
        <v>2014</v>
      </c>
      <c r="D167" s="6" t="s">
        <v>973</v>
      </c>
      <c r="E167" s="6" t="s">
        <v>974</v>
      </c>
      <c r="F167" s="6" t="s">
        <v>975</v>
      </c>
      <c r="G167" s="6" t="s">
        <v>932</v>
      </c>
      <c r="H167" s="6" t="s">
        <v>925</v>
      </c>
    </row>
    <row r="168" customFormat="false" ht="23.85" hidden="false" customHeight="false" outlineLevel="0" collapsed="false">
      <c r="A168" s="7" t="s">
        <v>929</v>
      </c>
      <c r="B168" s="7"/>
      <c r="C168" s="7" t="n">
        <v>2015</v>
      </c>
      <c r="D168" s="6" t="s">
        <v>976</v>
      </c>
      <c r="E168" s="6" t="s">
        <v>307</v>
      </c>
      <c r="F168" s="6" t="s">
        <v>977</v>
      </c>
      <c r="G168" s="6" t="s">
        <v>932</v>
      </c>
      <c r="H168" s="6" t="s">
        <v>916</v>
      </c>
    </row>
    <row r="169" customFormat="false" ht="15" hidden="false" customHeight="false" outlineLevel="0" collapsed="false">
      <c r="A169" s="7" t="s">
        <v>929</v>
      </c>
      <c r="B169" s="7"/>
      <c r="C169" s="7" t="n">
        <v>2016</v>
      </c>
      <c r="D169" s="6" t="s">
        <v>978</v>
      </c>
      <c r="E169" s="6" t="s">
        <v>979</v>
      </c>
      <c r="F169" s="6" t="s">
        <v>980</v>
      </c>
      <c r="G169" s="6" t="s">
        <v>932</v>
      </c>
      <c r="H169" s="6" t="s">
        <v>916</v>
      </c>
    </row>
    <row r="170" customFormat="false" ht="15" hidden="false" customHeight="false" outlineLevel="0" collapsed="false">
      <c r="A170" s="7" t="s">
        <v>929</v>
      </c>
      <c r="B170" s="7"/>
      <c r="C170" s="7" t="n">
        <v>2016</v>
      </c>
      <c r="D170" s="6" t="s">
        <v>981</v>
      </c>
      <c r="E170" s="6" t="s">
        <v>982</v>
      </c>
      <c r="F170" s="6" t="s">
        <v>983</v>
      </c>
      <c r="G170" s="6" t="s">
        <v>932</v>
      </c>
      <c r="H170" s="6" t="s">
        <v>916</v>
      </c>
    </row>
    <row r="171" customFormat="false" ht="15" hidden="false" customHeight="false" outlineLevel="0" collapsed="false">
      <c r="A171" s="7" t="s">
        <v>929</v>
      </c>
      <c r="B171" s="7"/>
      <c r="C171" s="7" t="n">
        <v>2016</v>
      </c>
      <c r="D171" s="6" t="s">
        <v>984</v>
      </c>
      <c r="E171" s="6" t="s">
        <v>985</v>
      </c>
      <c r="F171" s="6" t="s">
        <v>986</v>
      </c>
      <c r="G171" s="6" t="s">
        <v>932</v>
      </c>
      <c r="H171" s="6" t="s">
        <v>916</v>
      </c>
    </row>
    <row r="172" customFormat="false" ht="15" hidden="false" customHeight="false" outlineLevel="0" collapsed="false">
      <c r="A172" s="7" t="s">
        <v>929</v>
      </c>
      <c r="B172" s="7"/>
      <c r="C172" s="7" t="n">
        <v>2017</v>
      </c>
      <c r="D172" s="6" t="s">
        <v>987</v>
      </c>
      <c r="E172" s="6" t="s">
        <v>985</v>
      </c>
      <c r="F172" s="6" t="s">
        <v>988</v>
      </c>
      <c r="G172" s="6" t="s">
        <v>932</v>
      </c>
      <c r="H172" s="6" t="s">
        <v>916</v>
      </c>
    </row>
    <row r="173" customFormat="false" ht="23.85" hidden="false" customHeight="false" outlineLevel="0" collapsed="false">
      <c r="A173" s="7" t="s">
        <v>929</v>
      </c>
      <c r="B173" s="7"/>
      <c r="C173" s="7" t="n">
        <v>2018</v>
      </c>
      <c r="D173" s="6" t="s">
        <v>989</v>
      </c>
      <c r="E173" s="6" t="s">
        <v>990</v>
      </c>
      <c r="F173" s="6" t="s">
        <v>991</v>
      </c>
      <c r="G173" s="6" t="s">
        <v>932</v>
      </c>
      <c r="H173" s="6" t="s">
        <v>916</v>
      </c>
    </row>
    <row r="174" customFormat="false" ht="15" hidden="false" customHeight="false" outlineLevel="0" collapsed="false">
      <c r="A174" s="7" t="s">
        <v>929</v>
      </c>
      <c r="B174" s="7"/>
      <c r="C174" s="7" t="n">
        <v>2018</v>
      </c>
      <c r="D174" s="6" t="s">
        <v>992</v>
      </c>
      <c r="E174" s="6" t="s">
        <v>198</v>
      </c>
      <c r="F174" s="6" t="s">
        <v>993</v>
      </c>
      <c r="G174" s="6" t="s">
        <v>932</v>
      </c>
      <c r="H174" s="6" t="s">
        <v>916</v>
      </c>
    </row>
    <row r="175" customFormat="false" ht="15" hidden="false" customHeight="false" outlineLevel="0" collapsed="false">
      <c r="A175" s="7" t="s">
        <v>929</v>
      </c>
      <c r="B175" s="7"/>
      <c r="C175" s="7" t="n">
        <v>2019</v>
      </c>
      <c r="D175" s="6" t="s">
        <v>994</v>
      </c>
      <c r="E175" s="6" t="s">
        <v>995</v>
      </c>
      <c r="F175" s="6" t="s">
        <v>996</v>
      </c>
      <c r="G175" s="6" t="s">
        <v>932</v>
      </c>
      <c r="H175" s="6" t="s">
        <v>916</v>
      </c>
    </row>
    <row r="176" customFormat="false" ht="23.85" hidden="false" customHeight="false" outlineLevel="0" collapsed="false">
      <c r="A176" s="7" t="s">
        <v>929</v>
      </c>
      <c r="B176" s="7"/>
      <c r="C176" s="7" t="n">
        <v>2019</v>
      </c>
      <c r="D176" s="6" t="s">
        <v>997</v>
      </c>
      <c r="E176" s="6" t="s">
        <v>946</v>
      </c>
      <c r="F176" s="6" t="s">
        <v>998</v>
      </c>
      <c r="G176" s="6" t="s">
        <v>932</v>
      </c>
      <c r="H176" s="6" t="s">
        <v>925</v>
      </c>
    </row>
    <row r="177" customFormat="false" ht="15" hidden="false" customHeight="false" outlineLevel="0" collapsed="false">
      <c r="A177" s="7" t="s">
        <v>929</v>
      </c>
      <c r="B177" s="7"/>
      <c r="C177" s="7" t="n">
        <v>2020</v>
      </c>
      <c r="D177" s="6" t="s">
        <v>999</v>
      </c>
      <c r="E177" s="6" t="s">
        <v>1000</v>
      </c>
      <c r="F177" s="6" t="s">
        <v>1001</v>
      </c>
      <c r="G177" s="6" t="s">
        <v>932</v>
      </c>
      <c r="H177" s="6" t="s">
        <v>916</v>
      </c>
    </row>
    <row r="178" customFormat="false" ht="15" hidden="false" customHeight="false" outlineLevel="0" collapsed="false">
      <c r="A178" s="7" t="s">
        <v>929</v>
      </c>
      <c r="B178" s="7"/>
      <c r="C178" s="7" t="n">
        <v>2020</v>
      </c>
      <c r="D178" s="6" t="s">
        <v>1002</v>
      </c>
      <c r="E178" s="6" t="s">
        <v>594</v>
      </c>
      <c r="F178" s="6" t="s">
        <v>1003</v>
      </c>
      <c r="G178" s="6" t="s">
        <v>932</v>
      </c>
      <c r="H178" s="6" t="s">
        <v>916</v>
      </c>
    </row>
    <row r="179" customFormat="false" ht="15" hidden="false" customHeight="false" outlineLevel="0" collapsed="false">
      <c r="A179" s="7" t="s">
        <v>929</v>
      </c>
      <c r="B179" s="7"/>
      <c r="C179" s="7" t="n">
        <v>2020</v>
      </c>
      <c r="D179" s="6" t="s">
        <v>1004</v>
      </c>
      <c r="E179" s="6" t="s">
        <v>1005</v>
      </c>
      <c r="F179" s="6" t="s">
        <v>1006</v>
      </c>
      <c r="G179" s="6" t="s">
        <v>932</v>
      </c>
      <c r="H179" s="6" t="s">
        <v>916</v>
      </c>
    </row>
    <row r="180" customFormat="false" ht="23.85" hidden="false" customHeight="false" outlineLevel="0" collapsed="false">
      <c r="A180" s="7" t="s">
        <v>929</v>
      </c>
      <c r="B180" s="7"/>
      <c r="C180" s="7" t="n">
        <v>2021</v>
      </c>
      <c r="D180" s="6" t="s">
        <v>1007</v>
      </c>
      <c r="E180" s="6" t="s">
        <v>307</v>
      </c>
      <c r="F180" s="6" t="s">
        <v>1008</v>
      </c>
      <c r="G180" s="6" t="s">
        <v>932</v>
      </c>
      <c r="H180" s="6" t="s">
        <v>916</v>
      </c>
    </row>
    <row r="181" customFormat="false" ht="15" hidden="false" customHeight="false" outlineLevel="0" collapsed="false">
      <c r="A181" s="7" t="s">
        <v>929</v>
      </c>
      <c r="B181" s="7"/>
      <c r="C181" s="7" t="n">
        <v>2021</v>
      </c>
      <c r="D181" s="6" t="s">
        <v>1009</v>
      </c>
      <c r="E181" s="6" t="s">
        <v>1010</v>
      </c>
      <c r="F181" s="6" t="s">
        <v>1011</v>
      </c>
      <c r="G181" s="6" t="s">
        <v>932</v>
      </c>
      <c r="H181" s="6" t="s">
        <v>916</v>
      </c>
    </row>
    <row r="182" customFormat="false" ht="23.85" hidden="false" customHeight="false" outlineLevel="0" collapsed="false">
      <c r="A182" s="7" t="s">
        <v>929</v>
      </c>
      <c r="B182" s="7"/>
      <c r="C182" s="7" t="n">
        <v>2022</v>
      </c>
      <c r="D182" s="6" t="s">
        <v>1012</v>
      </c>
      <c r="E182" s="6" t="s">
        <v>192</v>
      </c>
      <c r="F182" s="6" t="s">
        <v>1013</v>
      </c>
      <c r="G182" s="6" t="s">
        <v>932</v>
      </c>
      <c r="H182" s="6" t="s">
        <v>916</v>
      </c>
    </row>
    <row r="183" customFormat="false" ht="15" hidden="false" customHeight="false" outlineLevel="0" collapsed="false">
      <c r="A183" s="7" t="s">
        <v>929</v>
      </c>
      <c r="B183" s="7"/>
      <c r="C183" s="7" t="n">
        <v>2023</v>
      </c>
      <c r="D183" s="6" t="s">
        <v>1014</v>
      </c>
      <c r="E183" s="6" t="s">
        <v>1015</v>
      </c>
      <c r="F183" s="6" t="s">
        <v>1016</v>
      </c>
      <c r="G183" s="6" t="s">
        <v>1017</v>
      </c>
      <c r="H183" s="6" t="s">
        <v>916</v>
      </c>
    </row>
    <row r="184" customFormat="false" ht="15" hidden="false" customHeight="false" outlineLevel="0" collapsed="false">
      <c r="A184" s="7" t="s">
        <v>929</v>
      </c>
      <c r="B184" s="7"/>
      <c r="C184" s="7" t="n">
        <v>2023</v>
      </c>
      <c r="D184" s="6" t="s">
        <v>1018</v>
      </c>
      <c r="E184" s="6" t="s">
        <v>36</v>
      </c>
      <c r="F184" s="6" t="s">
        <v>1019</v>
      </c>
      <c r="G184" s="6" t="s">
        <v>932</v>
      </c>
      <c r="H184" s="6" t="s">
        <v>916</v>
      </c>
    </row>
    <row r="185" customFormat="false" ht="15" hidden="false" customHeight="false" outlineLevel="0" collapsed="false">
      <c r="A185" s="7" t="s">
        <v>929</v>
      </c>
      <c r="B185" s="7"/>
      <c r="C185" s="7" t="n">
        <v>2024</v>
      </c>
      <c r="D185" s="6" t="s">
        <v>1020</v>
      </c>
      <c r="E185" s="6" t="s">
        <v>985</v>
      </c>
      <c r="F185" s="6" t="s">
        <v>1021</v>
      </c>
      <c r="G185" s="6" t="s">
        <v>932</v>
      </c>
      <c r="H185" s="6" t="s">
        <v>916</v>
      </c>
    </row>
    <row r="186" customFormat="false" ht="15" hidden="false" customHeight="false" outlineLevel="0" collapsed="false">
      <c r="A186" s="7" t="s">
        <v>929</v>
      </c>
      <c r="B186" s="7"/>
      <c r="C186" s="7" t="n">
        <v>2025</v>
      </c>
      <c r="D186" s="6" t="s">
        <v>1022</v>
      </c>
      <c r="E186" s="6" t="s">
        <v>1023</v>
      </c>
      <c r="F186" s="6" t="s">
        <v>1024</v>
      </c>
      <c r="G186" s="6" t="s">
        <v>932</v>
      </c>
      <c r="H186" s="6" t="s">
        <v>916</v>
      </c>
    </row>
    <row r="187" customFormat="false" ht="23.85" hidden="false" customHeight="false" outlineLevel="0" collapsed="false">
      <c r="A187" s="7" t="s">
        <v>1025</v>
      </c>
      <c r="B187" s="7"/>
      <c r="C187" s="7" t="n">
        <v>1988</v>
      </c>
      <c r="D187" s="6" t="s">
        <v>1026</v>
      </c>
      <c r="E187" s="6" t="s">
        <v>245</v>
      </c>
      <c r="F187" s="6" t="s">
        <v>1027</v>
      </c>
      <c r="G187" s="6" t="s">
        <v>1028</v>
      </c>
      <c r="H187" s="6" t="s">
        <v>916</v>
      </c>
    </row>
    <row r="188" customFormat="false" ht="23.85" hidden="false" customHeight="false" outlineLevel="0" collapsed="false">
      <c r="A188" s="7" t="s">
        <v>1025</v>
      </c>
      <c r="B188" s="7"/>
      <c r="C188" s="7" t="n">
        <v>1989</v>
      </c>
      <c r="D188" s="6" t="s">
        <v>1029</v>
      </c>
      <c r="E188" s="6" t="s">
        <v>162</v>
      </c>
      <c r="F188" s="6" t="s">
        <v>1030</v>
      </c>
      <c r="G188" s="6" t="s">
        <v>917</v>
      </c>
      <c r="H188" s="6" t="s">
        <v>916</v>
      </c>
    </row>
    <row r="189" customFormat="false" ht="23.85" hidden="false" customHeight="false" outlineLevel="0" collapsed="false">
      <c r="A189" s="7" t="s">
        <v>1025</v>
      </c>
      <c r="B189" s="7"/>
      <c r="C189" s="7" t="n">
        <v>1989</v>
      </c>
      <c r="D189" s="6" t="s">
        <v>1031</v>
      </c>
      <c r="E189" s="6" t="s">
        <v>250</v>
      </c>
      <c r="F189" s="6" t="s">
        <v>1032</v>
      </c>
      <c r="G189" s="6" t="s">
        <v>917</v>
      </c>
      <c r="H189" s="6" t="s">
        <v>916</v>
      </c>
    </row>
    <row r="190" customFormat="false" ht="15" hidden="false" customHeight="false" outlineLevel="0" collapsed="false">
      <c r="A190" s="7" t="s">
        <v>1025</v>
      </c>
      <c r="B190" s="7"/>
      <c r="C190" s="7" t="n">
        <v>1992</v>
      </c>
      <c r="D190" s="6" t="s">
        <v>1033</v>
      </c>
      <c r="E190" s="6" t="s">
        <v>1034</v>
      </c>
      <c r="F190" s="6" t="s">
        <v>1035</v>
      </c>
      <c r="G190" s="6" t="s">
        <v>919</v>
      </c>
      <c r="H190" s="6" t="s">
        <v>916</v>
      </c>
    </row>
    <row r="191" customFormat="false" ht="15" hidden="false" customHeight="false" outlineLevel="0" collapsed="false">
      <c r="A191" s="7" t="s">
        <v>1025</v>
      </c>
      <c r="B191" s="7"/>
      <c r="C191" s="7" t="n">
        <v>1993</v>
      </c>
      <c r="D191" s="6" t="s">
        <v>1036</v>
      </c>
      <c r="E191" s="6" t="s">
        <v>198</v>
      </c>
      <c r="F191" s="6" t="s">
        <v>1037</v>
      </c>
      <c r="G191" s="6" t="s">
        <v>1028</v>
      </c>
      <c r="H191" s="6" t="s">
        <v>916</v>
      </c>
    </row>
    <row r="192" customFormat="false" ht="23.85" hidden="false" customHeight="false" outlineLevel="0" collapsed="false">
      <c r="A192" s="7" t="s">
        <v>1025</v>
      </c>
      <c r="B192" s="7"/>
      <c r="C192" s="7" t="n">
        <v>1993</v>
      </c>
      <c r="D192" s="6" t="s">
        <v>1038</v>
      </c>
      <c r="E192" s="6" t="s">
        <v>250</v>
      </c>
      <c r="F192" s="6" t="s">
        <v>1039</v>
      </c>
      <c r="G192" s="6" t="s">
        <v>919</v>
      </c>
      <c r="H192" s="6" t="s">
        <v>916</v>
      </c>
    </row>
    <row r="193" customFormat="false" ht="15" hidden="false" customHeight="false" outlineLevel="0" collapsed="false">
      <c r="A193" s="7" t="s">
        <v>1025</v>
      </c>
      <c r="B193" s="7"/>
      <c r="C193" s="7" t="n">
        <v>1994</v>
      </c>
      <c r="D193" s="6" t="s">
        <v>1040</v>
      </c>
      <c r="E193" s="6" t="s">
        <v>1041</v>
      </c>
      <c r="F193" s="6" t="s">
        <v>1042</v>
      </c>
      <c r="G193" s="6" t="s">
        <v>917</v>
      </c>
      <c r="H193" s="6" t="s">
        <v>916</v>
      </c>
    </row>
    <row r="194" customFormat="false" ht="23.85" hidden="false" customHeight="false" outlineLevel="0" collapsed="false">
      <c r="A194" s="7" t="s">
        <v>1025</v>
      </c>
      <c r="B194" s="7"/>
      <c r="C194" s="7" t="n">
        <v>1994</v>
      </c>
      <c r="D194" s="6" t="s">
        <v>1043</v>
      </c>
      <c r="E194" s="6" t="s">
        <v>250</v>
      </c>
      <c r="F194" s="6" t="s">
        <v>1044</v>
      </c>
      <c r="G194" s="6" t="s">
        <v>919</v>
      </c>
      <c r="H194" s="6" t="s">
        <v>916</v>
      </c>
    </row>
    <row r="195" customFormat="false" ht="15" hidden="false" customHeight="false" outlineLevel="0" collapsed="false">
      <c r="A195" s="7" t="s">
        <v>1025</v>
      </c>
      <c r="B195" s="7"/>
      <c r="C195" s="7" t="n">
        <v>1995</v>
      </c>
      <c r="D195" s="6" t="s">
        <v>1045</v>
      </c>
      <c r="E195" s="6" t="s">
        <v>162</v>
      </c>
      <c r="F195" s="6" t="s">
        <v>1046</v>
      </c>
      <c r="G195" s="6" t="s">
        <v>919</v>
      </c>
      <c r="H195" s="6" t="s">
        <v>916</v>
      </c>
    </row>
    <row r="196" customFormat="false" ht="23.85" hidden="false" customHeight="false" outlineLevel="0" collapsed="false">
      <c r="A196" s="7" t="s">
        <v>1025</v>
      </c>
      <c r="B196" s="7"/>
      <c r="C196" s="7" t="n">
        <v>1995</v>
      </c>
      <c r="D196" s="6" t="s">
        <v>1047</v>
      </c>
      <c r="E196" s="6" t="s">
        <v>245</v>
      </c>
      <c r="F196" s="6" t="s">
        <v>1048</v>
      </c>
      <c r="G196" s="6" t="s">
        <v>919</v>
      </c>
      <c r="H196" s="6" t="s">
        <v>916</v>
      </c>
    </row>
    <row r="197" customFormat="false" ht="15" hidden="false" customHeight="false" outlineLevel="0" collapsed="false">
      <c r="A197" s="7" t="s">
        <v>1025</v>
      </c>
      <c r="B197" s="7"/>
      <c r="C197" s="7" t="n">
        <v>1995</v>
      </c>
      <c r="D197" s="6" t="s">
        <v>1049</v>
      </c>
      <c r="E197" s="6" t="s">
        <v>198</v>
      </c>
      <c r="F197" s="6" t="s">
        <v>1050</v>
      </c>
      <c r="G197" s="6" t="s">
        <v>917</v>
      </c>
      <c r="H197" s="6" t="s">
        <v>916</v>
      </c>
    </row>
    <row r="198" customFormat="false" ht="15" hidden="false" customHeight="false" outlineLevel="0" collapsed="false">
      <c r="A198" s="7" t="s">
        <v>1025</v>
      </c>
      <c r="B198" s="7"/>
      <c r="C198" s="7" t="n">
        <v>1996</v>
      </c>
      <c r="D198" s="6" t="s">
        <v>1051</v>
      </c>
      <c r="E198" s="6" t="s">
        <v>469</v>
      </c>
      <c r="F198" s="6" t="s">
        <v>1052</v>
      </c>
      <c r="G198" s="6" t="s">
        <v>919</v>
      </c>
      <c r="H198" s="6" t="s">
        <v>916</v>
      </c>
    </row>
    <row r="199" customFormat="false" ht="15" hidden="false" customHeight="false" outlineLevel="0" collapsed="false">
      <c r="A199" s="7" t="s">
        <v>1025</v>
      </c>
      <c r="B199" s="7"/>
      <c r="C199" s="7" t="n">
        <v>1996</v>
      </c>
      <c r="D199" s="6" t="s">
        <v>1053</v>
      </c>
      <c r="E199" s="6" t="s">
        <v>162</v>
      </c>
      <c r="F199" s="6" t="s">
        <v>1054</v>
      </c>
      <c r="G199" s="6" t="s">
        <v>917</v>
      </c>
      <c r="H199" s="6" t="s">
        <v>916</v>
      </c>
    </row>
    <row r="200" customFormat="false" ht="23.85" hidden="false" customHeight="false" outlineLevel="0" collapsed="false">
      <c r="A200" s="7" t="s">
        <v>1025</v>
      </c>
      <c r="B200" s="7"/>
      <c r="C200" s="7" t="n">
        <v>1996</v>
      </c>
      <c r="D200" s="6" t="s">
        <v>1055</v>
      </c>
      <c r="E200" s="6" t="s">
        <v>250</v>
      </c>
      <c r="F200" s="6" t="s">
        <v>1056</v>
      </c>
      <c r="G200" s="6" t="s">
        <v>917</v>
      </c>
      <c r="H200" s="6" t="s">
        <v>916</v>
      </c>
    </row>
    <row r="201" customFormat="false" ht="15" hidden="false" customHeight="false" outlineLevel="0" collapsed="false">
      <c r="A201" s="7" t="s">
        <v>1025</v>
      </c>
      <c r="B201" s="7"/>
      <c r="C201" s="7" t="n">
        <v>1996</v>
      </c>
      <c r="D201" s="6" t="s">
        <v>1057</v>
      </c>
      <c r="E201" s="6" t="s">
        <v>198</v>
      </c>
      <c r="F201" s="6" t="s">
        <v>1058</v>
      </c>
      <c r="G201" s="6" t="s">
        <v>917</v>
      </c>
      <c r="H201" s="6" t="s">
        <v>916</v>
      </c>
    </row>
    <row r="202" customFormat="false" ht="15" hidden="false" customHeight="false" outlineLevel="0" collapsed="false">
      <c r="A202" s="7" t="s">
        <v>1025</v>
      </c>
      <c r="B202" s="7"/>
      <c r="C202" s="7" t="n">
        <v>1997</v>
      </c>
      <c r="D202" s="6" t="s">
        <v>1059</v>
      </c>
      <c r="E202" s="6" t="s">
        <v>1060</v>
      </c>
      <c r="F202" s="6" t="s">
        <v>1061</v>
      </c>
      <c r="G202" s="6" t="s">
        <v>917</v>
      </c>
      <c r="H202" s="6" t="s">
        <v>916</v>
      </c>
    </row>
    <row r="203" customFormat="false" ht="15" hidden="false" customHeight="false" outlineLevel="0" collapsed="false">
      <c r="A203" s="7" t="s">
        <v>1025</v>
      </c>
      <c r="B203" s="7"/>
      <c r="C203" s="7" t="n">
        <v>1998</v>
      </c>
      <c r="D203" s="6" t="s">
        <v>1062</v>
      </c>
      <c r="E203" s="6" t="s">
        <v>162</v>
      </c>
      <c r="F203" s="6" t="s">
        <v>1063</v>
      </c>
      <c r="G203" s="6" t="s">
        <v>917</v>
      </c>
      <c r="H203" s="6" t="s">
        <v>916</v>
      </c>
    </row>
    <row r="204" customFormat="false" ht="15" hidden="false" customHeight="false" outlineLevel="0" collapsed="false">
      <c r="A204" s="7" t="s">
        <v>1025</v>
      </c>
      <c r="B204" s="7"/>
      <c r="C204" s="7" t="n">
        <v>1999</v>
      </c>
      <c r="D204" s="6" t="s">
        <v>1064</v>
      </c>
      <c r="E204" s="6" t="s">
        <v>162</v>
      </c>
      <c r="F204" s="6" t="s">
        <v>1065</v>
      </c>
      <c r="G204" s="6" t="s">
        <v>919</v>
      </c>
      <c r="H204" s="6" t="s">
        <v>916</v>
      </c>
    </row>
    <row r="205" customFormat="false" ht="23.85" hidden="false" customHeight="false" outlineLevel="0" collapsed="false">
      <c r="A205" s="7" t="s">
        <v>1025</v>
      </c>
      <c r="B205" s="7"/>
      <c r="C205" s="7" t="n">
        <v>1999</v>
      </c>
      <c r="D205" s="6" t="s">
        <v>1066</v>
      </c>
      <c r="E205" s="6" t="s">
        <v>250</v>
      </c>
      <c r="F205" s="6" t="s">
        <v>1067</v>
      </c>
      <c r="G205" s="6" t="s">
        <v>918</v>
      </c>
      <c r="H205" s="6" t="s">
        <v>916</v>
      </c>
    </row>
    <row r="206" customFormat="false" ht="15" hidden="false" customHeight="false" outlineLevel="0" collapsed="false">
      <c r="A206" s="7" t="s">
        <v>1025</v>
      </c>
      <c r="B206" s="7"/>
      <c r="C206" s="7" t="n">
        <v>2000</v>
      </c>
      <c r="D206" s="6" t="s">
        <v>1068</v>
      </c>
      <c r="E206" s="6" t="s">
        <v>245</v>
      </c>
      <c r="F206" s="6" t="s">
        <v>1069</v>
      </c>
      <c r="G206" s="6" t="s">
        <v>1028</v>
      </c>
      <c r="H206" s="6" t="s">
        <v>916</v>
      </c>
    </row>
    <row r="207" customFormat="false" ht="23.85" hidden="false" customHeight="false" outlineLevel="0" collapsed="false">
      <c r="A207" s="7" t="s">
        <v>1025</v>
      </c>
      <c r="B207" s="7"/>
      <c r="C207" s="7" t="n">
        <v>2001</v>
      </c>
      <c r="D207" s="6" t="s">
        <v>1070</v>
      </c>
      <c r="E207" s="6" t="s">
        <v>250</v>
      </c>
      <c r="F207" s="6" t="s">
        <v>1071</v>
      </c>
      <c r="G207" s="6" t="s">
        <v>917</v>
      </c>
      <c r="H207" s="6" t="s">
        <v>916</v>
      </c>
    </row>
    <row r="208" customFormat="false" ht="23.85" hidden="false" customHeight="false" outlineLevel="0" collapsed="false">
      <c r="A208" s="7" t="s">
        <v>1025</v>
      </c>
      <c r="B208" s="7"/>
      <c r="C208" s="7" t="n">
        <v>2001</v>
      </c>
      <c r="D208" s="6" t="s">
        <v>1072</v>
      </c>
      <c r="E208" s="6" t="s">
        <v>250</v>
      </c>
      <c r="F208" s="6" t="s">
        <v>1073</v>
      </c>
      <c r="G208" s="6" t="s">
        <v>919</v>
      </c>
      <c r="H208" s="6" t="s">
        <v>916</v>
      </c>
    </row>
    <row r="209" customFormat="false" ht="15" hidden="false" customHeight="false" outlineLevel="0" collapsed="false">
      <c r="A209" s="7" t="s">
        <v>1025</v>
      </c>
      <c r="B209" s="7"/>
      <c r="C209" s="7" t="n">
        <v>2001</v>
      </c>
      <c r="D209" s="6" t="s">
        <v>1074</v>
      </c>
      <c r="E209" s="6" t="s">
        <v>1075</v>
      </c>
      <c r="F209" s="6" t="s">
        <v>1076</v>
      </c>
      <c r="G209" s="6" t="s">
        <v>919</v>
      </c>
      <c r="H209" s="6" t="s">
        <v>916</v>
      </c>
    </row>
    <row r="210" customFormat="false" ht="23.85" hidden="false" customHeight="false" outlineLevel="0" collapsed="false">
      <c r="A210" s="7" t="s">
        <v>1025</v>
      </c>
      <c r="B210" s="7"/>
      <c r="C210" s="7" t="n">
        <v>2001</v>
      </c>
      <c r="D210" s="6" t="s">
        <v>1077</v>
      </c>
      <c r="E210" s="6" t="s">
        <v>198</v>
      </c>
      <c r="F210" s="6" t="s">
        <v>1078</v>
      </c>
      <c r="G210" s="6" t="s">
        <v>917</v>
      </c>
      <c r="H210" s="6" t="s">
        <v>916</v>
      </c>
    </row>
    <row r="211" customFormat="false" ht="15" hidden="false" customHeight="false" outlineLevel="0" collapsed="false">
      <c r="A211" s="7" t="s">
        <v>1025</v>
      </c>
      <c r="B211" s="7"/>
      <c r="C211" s="7" t="n">
        <v>2001</v>
      </c>
      <c r="D211" s="6" t="s">
        <v>1079</v>
      </c>
      <c r="E211" s="6" t="s">
        <v>162</v>
      </c>
      <c r="F211" s="6" t="s">
        <v>1080</v>
      </c>
      <c r="G211" s="6" t="s">
        <v>917</v>
      </c>
      <c r="H211" s="6" t="s">
        <v>916</v>
      </c>
    </row>
    <row r="212" customFormat="false" ht="23.85" hidden="false" customHeight="false" outlineLevel="0" collapsed="false">
      <c r="A212" s="7" t="s">
        <v>1025</v>
      </c>
      <c r="B212" s="7"/>
      <c r="C212" s="7" t="n">
        <v>2003</v>
      </c>
      <c r="D212" s="6" t="s">
        <v>1081</v>
      </c>
      <c r="E212" s="6" t="s">
        <v>1082</v>
      </c>
      <c r="F212" s="7"/>
      <c r="G212" s="6" t="s">
        <v>919</v>
      </c>
      <c r="H212" s="6" t="s">
        <v>916</v>
      </c>
    </row>
    <row r="213" customFormat="false" ht="23.85" hidden="false" customHeight="false" outlineLevel="0" collapsed="false">
      <c r="A213" s="7" t="s">
        <v>1025</v>
      </c>
      <c r="B213" s="7"/>
      <c r="C213" s="7" t="n">
        <v>2003</v>
      </c>
      <c r="D213" s="6" t="s">
        <v>1083</v>
      </c>
      <c r="E213" s="6" t="s">
        <v>1084</v>
      </c>
      <c r="F213" s="6" t="s">
        <v>1085</v>
      </c>
      <c r="G213" s="6" t="s">
        <v>923</v>
      </c>
      <c r="H213" s="6" t="s">
        <v>916</v>
      </c>
    </row>
    <row r="214" customFormat="false" ht="15" hidden="false" customHeight="false" outlineLevel="0" collapsed="false">
      <c r="A214" s="7" t="s">
        <v>1025</v>
      </c>
      <c r="B214" s="7"/>
      <c r="C214" s="7" t="n">
        <v>2003</v>
      </c>
      <c r="D214" s="6" t="s">
        <v>1086</v>
      </c>
      <c r="E214" s="6" t="s">
        <v>267</v>
      </c>
      <c r="F214" s="6" t="s">
        <v>1087</v>
      </c>
      <c r="G214" s="6" t="s">
        <v>917</v>
      </c>
      <c r="H214" s="6" t="s">
        <v>916</v>
      </c>
    </row>
    <row r="215" customFormat="false" ht="15" hidden="false" customHeight="false" outlineLevel="0" collapsed="false">
      <c r="A215" s="7" t="s">
        <v>1025</v>
      </c>
      <c r="B215" s="7"/>
      <c r="C215" s="7" t="n">
        <v>2003</v>
      </c>
      <c r="D215" s="6" t="s">
        <v>1088</v>
      </c>
      <c r="E215" s="6" t="s">
        <v>162</v>
      </c>
      <c r="F215" s="6" t="s">
        <v>1089</v>
      </c>
      <c r="G215" s="6" t="s">
        <v>919</v>
      </c>
      <c r="H215" s="6" t="s">
        <v>916</v>
      </c>
    </row>
    <row r="216" customFormat="false" ht="23.85" hidden="false" customHeight="false" outlineLevel="0" collapsed="false">
      <c r="A216" s="7" t="s">
        <v>1025</v>
      </c>
      <c r="B216" s="7"/>
      <c r="C216" s="7" t="n">
        <v>2004</v>
      </c>
      <c r="D216" s="6" t="s">
        <v>1090</v>
      </c>
      <c r="E216" s="6" t="s">
        <v>469</v>
      </c>
      <c r="F216" s="6" t="s">
        <v>1091</v>
      </c>
      <c r="G216" s="6" t="s">
        <v>923</v>
      </c>
      <c r="H216" s="6" t="s">
        <v>916</v>
      </c>
    </row>
    <row r="217" customFormat="false" ht="15" hidden="false" customHeight="false" outlineLevel="0" collapsed="false">
      <c r="A217" s="7" t="s">
        <v>1025</v>
      </c>
      <c r="B217" s="7"/>
      <c r="C217" s="7" t="n">
        <v>2004</v>
      </c>
      <c r="D217" s="6" t="s">
        <v>1092</v>
      </c>
      <c r="E217" s="6" t="s">
        <v>210</v>
      </c>
      <c r="F217" s="6" t="s">
        <v>1093</v>
      </c>
      <c r="G217" s="6" t="s">
        <v>919</v>
      </c>
      <c r="H217" s="6" t="s">
        <v>916</v>
      </c>
    </row>
    <row r="218" customFormat="false" ht="15" hidden="false" customHeight="false" outlineLevel="0" collapsed="false">
      <c r="A218" s="7" t="s">
        <v>1025</v>
      </c>
      <c r="B218" s="7"/>
      <c r="C218" s="7" t="n">
        <v>2004</v>
      </c>
      <c r="D218" s="6" t="s">
        <v>1094</v>
      </c>
      <c r="E218" s="6" t="s">
        <v>162</v>
      </c>
      <c r="F218" s="6" t="s">
        <v>1095</v>
      </c>
      <c r="G218" s="6" t="s">
        <v>919</v>
      </c>
      <c r="H218" s="6" t="s">
        <v>916</v>
      </c>
    </row>
    <row r="219" customFormat="false" ht="23.85" hidden="false" customHeight="false" outlineLevel="0" collapsed="false">
      <c r="A219" s="7" t="s">
        <v>1025</v>
      </c>
      <c r="B219" s="7"/>
      <c r="C219" s="7" t="n">
        <v>2004</v>
      </c>
      <c r="D219" s="6" t="s">
        <v>1096</v>
      </c>
      <c r="E219" s="6" t="s">
        <v>172</v>
      </c>
      <c r="F219" s="6" t="s">
        <v>1097</v>
      </c>
      <c r="G219" s="6" t="s">
        <v>917</v>
      </c>
      <c r="H219" s="6" t="s">
        <v>916</v>
      </c>
    </row>
    <row r="220" customFormat="false" ht="23.85" hidden="false" customHeight="false" outlineLevel="0" collapsed="false">
      <c r="A220" s="7" t="s">
        <v>1025</v>
      </c>
      <c r="B220" s="7"/>
      <c r="C220" s="7" t="n">
        <v>2004</v>
      </c>
      <c r="D220" s="6" t="s">
        <v>1098</v>
      </c>
      <c r="E220" s="6" t="s">
        <v>176</v>
      </c>
      <c r="F220" s="6" t="s">
        <v>1099</v>
      </c>
      <c r="G220" s="6" t="s">
        <v>917</v>
      </c>
      <c r="H220" s="6" t="s">
        <v>916</v>
      </c>
    </row>
    <row r="221" customFormat="false" ht="23.85" hidden="false" customHeight="false" outlineLevel="0" collapsed="false">
      <c r="A221" s="7" t="s">
        <v>1025</v>
      </c>
      <c r="B221" s="7"/>
      <c r="C221" s="7" t="n">
        <v>2004</v>
      </c>
      <c r="D221" s="6" t="s">
        <v>1100</v>
      </c>
      <c r="E221" s="6" t="s">
        <v>250</v>
      </c>
      <c r="F221" s="6" t="s">
        <v>1101</v>
      </c>
      <c r="G221" s="6" t="s">
        <v>919</v>
      </c>
      <c r="H221" s="6" t="s">
        <v>916</v>
      </c>
    </row>
    <row r="222" customFormat="false" ht="15" hidden="false" customHeight="false" outlineLevel="0" collapsed="false">
      <c r="A222" s="7" t="s">
        <v>1025</v>
      </c>
      <c r="B222" s="7"/>
      <c r="C222" s="7" t="n">
        <v>2005</v>
      </c>
      <c r="D222" s="6" t="s">
        <v>1102</v>
      </c>
      <c r="E222" s="6" t="s">
        <v>1103</v>
      </c>
      <c r="F222" s="6" t="s">
        <v>1104</v>
      </c>
      <c r="G222" s="6" t="s">
        <v>917</v>
      </c>
      <c r="H222" s="6" t="s">
        <v>916</v>
      </c>
    </row>
    <row r="223" customFormat="false" ht="23.85" hidden="false" customHeight="false" outlineLevel="0" collapsed="false">
      <c r="A223" s="7" t="s">
        <v>1025</v>
      </c>
      <c r="B223" s="7"/>
      <c r="C223" s="7" t="n">
        <v>2006</v>
      </c>
      <c r="D223" s="6" t="s">
        <v>1105</v>
      </c>
      <c r="E223" s="6" t="s">
        <v>250</v>
      </c>
      <c r="F223" s="6" t="s">
        <v>1106</v>
      </c>
      <c r="G223" s="6" t="s">
        <v>919</v>
      </c>
      <c r="H223" s="6" t="s">
        <v>916</v>
      </c>
    </row>
    <row r="224" customFormat="false" ht="15" hidden="false" customHeight="false" outlineLevel="0" collapsed="false">
      <c r="A224" s="7" t="s">
        <v>1025</v>
      </c>
      <c r="B224" s="7"/>
      <c r="C224" s="7" t="n">
        <v>2006</v>
      </c>
      <c r="D224" s="6" t="s">
        <v>1107</v>
      </c>
      <c r="E224" s="6" t="s">
        <v>1108</v>
      </c>
      <c r="F224" s="6" t="s">
        <v>1109</v>
      </c>
      <c r="G224" s="6" t="s">
        <v>1028</v>
      </c>
      <c r="H224" s="6" t="s">
        <v>916</v>
      </c>
    </row>
    <row r="225" customFormat="false" ht="15" hidden="false" customHeight="false" outlineLevel="0" collapsed="false">
      <c r="A225" s="7" t="s">
        <v>1025</v>
      </c>
      <c r="B225" s="7"/>
      <c r="C225" s="7" t="n">
        <v>2007</v>
      </c>
      <c r="D225" s="6" t="s">
        <v>1110</v>
      </c>
      <c r="E225" s="6" t="s">
        <v>162</v>
      </c>
      <c r="F225" s="6" t="s">
        <v>1111</v>
      </c>
      <c r="G225" s="6" t="s">
        <v>923</v>
      </c>
      <c r="H225" s="6" t="s">
        <v>916</v>
      </c>
    </row>
    <row r="226" customFormat="false" ht="23.85" hidden="false" customHeight="false" outlineLevel="0" collapsed="false">
      <c r="A226" s="7" t="s">
        <v>1025</v>
      </c>
      <c r="B226" s="7"/>
      <c r="C226" s="7" t="n">
        <v>2007</v>
      </c>
      <c r="D226" s="6" t="s">
        <v>1112</v>
      </c>
      <c r="E226" s="6" t="s">
        <v>250</v>
      </c>
      <c r="F226" s="6" t="s">
        <v>1113</v>
      </c>
      <c r="G226" s="6" t="s">
        <v>917</v>
      </c>
      <c r="H226" s="6" t="s">
        <v>916</v>
      </c>
    </row>
    <row r="227" customFormat="false" ht="15" hidden="false" customHeight="false" outlineLevel="0" collapsed="false">
      <c r="A227" s="7" t="s">
        <v>1025</v>
      </c>
      <c r="B227" s="7"/>
      <c r="C227" s="7" t="n">
        <v>2007</v>
      </c>
      <c r="D227" s="6" t="s">
        <v>1114</v>
      </c>
      <c r="E227" s="6" t="s">
        <v>210</v>
      </c>
      <c r="F227" s="6" t="s">
        <v>1115</v>
      </c>
      <c r="G227" s="6" t="s">
        <v>1028</v>
      </c>
      <c r="H227" s="6" t="s">
        <v>916</v>
      </c>
    </row>
    <row r="228" customFormat="false" ht="23.85" hidden="false" customHeight="false" outlineLevel="0" collapsed="false">
      <c r="A228" s="7" t="s">
        <v>1025</v>
      </c>
      <c r="B228" s="7"/>
      <c r="C228" s="7" t="n">
        <v>2008</v>
      </c>
      <c r="D228" s="6" t="s">
        <v>1116</v>
      </c>
      <c r="E228" s="6" t="s">
        <v>162</v>
      </c>
      <c r="F228" s="6" t="s">
        <v>1117</v>
      </c>
      <c r="G228" s="6" t="s">
        <v>917</v>
      </c>
      <c r="H228" s="6" t="s">
        <v>916</v>
      </c>
    </row>
    <row r="229" customFormat="false" ht="15" hidden="false" customHeight="false" outlineLevel="0" collapsed="false">
      <c r="A229" s="7" t="s">
        <v>1025</v>
      </c>
      <c r="B229" s="7"/>
      <c r="C229" s="7" t="n">
        <v>2008</v>
      </c>
      <c r="D229" s="6" t="s">
        <v>1118</v>
      </c>
      <c r="E229" s="6" t="s">
        <v>1119</v>
      </c>
      <c r="F229" s="6" t="s">
        <v>1120</v>
      </c>
      <c r="G229" s="6" t="s">
        <v>923</v>
      </c>
      <c r="H229" s="6" t="s">
        <v>916</v>
      </c>
    </row>
    <row r="230" customFormat="false" ht="15" hidden="false" customHeight="false" outlineLevel="0" collapsed="false">
      <c r="A230" s="7" t="s">
        <v>1025</v>
      </c>
      <c r="B230" s="7"/>
      <c r="C230" s="7" t="n">
        <v>2008</v>
      </c>
      <c r="D230" s="6" t="s">
        <v>1121</v>
      </c>
      <c r="E230" s="6" t="s">
        <v>198</v>
      </c>
      <c r="F230" s="6" t="s">
        <v>1122</v>
      </c>
      <c r="G230" s="6" t="s">
        <v>919</v>
      </c>
      <c r="H230" s="6" t="s">
        <v>916</v>
      </c>
    </row>
    <row r="231" customFormat="false" ht="23.85" hidden="false" customHeight="false" outlineLevel="0" collapsed="false">
      <c r="A231" s="7" t="s">
        <v>1025</v>
      </c>
      <c r="B231" s="7"/>
      <c r="C231" s="7" t="n">
        <v>2008</v>
      </c>
      <c r="D231" s="6" t="s">
        <v>1123</v>
      </c>
      <c r="E231" s="6" t="s">
        <v>250</v>
      </c>
      <c r="F231" s="6" t="s">
        <v>1124</v>
      </c>
      <c r="G231" s="6" t="s">
        <v>917</v>
      </c>
      <c r="H231" s="6" t="s">
        <v>916</v>
      </c>
    </row>
    <row r="232" customFormat="false" ht="23.85" hidden="false" customHeight="false" outlineLevel="0" collapsed="false">
      <c r="A232" s="7" t="s">
        <v>1025</v>
      </c>
      <c r="B232" s="7"/>
      <c r="C232" s="7" t="n">
        <v>2008</v>
      </c>
      <c r="D232" s="6" t="s">
        <v>1125</v>
      </c>
      <c r="E232" s="6" t="s">
        <v>339</v>
      </c>
      <c r="F232" s="6" t="s">
        <v>1126</v>
      </c>
      <c r="G232" s="6" t="s">
        <v>917</v>
      </c>
      <c r="H232" s="6" t="s">
        <v>916</v>
      </c>
    </row>
    <row r="233" customFormat="false" ht="15" hidden="false" customHeight="false" outlineLevel="0" collapsed="false">
      <c r="A233" s="7" t="s">
        <v>1025</v>
      </c>
      <c r="B233" s="7"/>
      <c r="C233" s="7" t="n">
        <v>2009</v>
      </c>
      <c r="D233" s="6" t="s">
        <v>1127</v>
      </c>
      <c r="E233" s="6" t="s">
        <v>210</v>
      </c>
      <c r="F233" s="6" t="s">
        <v>1128</v>
      </c>
      <c r="G233" s="6" t="s">
        <v>917</v>
      </c>
      <c r="H233" s="6" t="s">
        <v>916</v>
      </c>
    </row>
    <row r="234" customFormat="false" ht="15" hidden="false" customHeight="false" outlineLevel="0" collapsed="false">
      <c r="A234" s="7" t="s">
        <v>1025</v>
      </c>
      <c r="B234" s="7"/>
      <c r="C234" s="7" t="n">
        <v>2009</v>
      </c>
      <c r="D234" s="6" t="s">
        <v>1129</v>
      </c>
      <c r="E234" s="6" t="s">
        <v>198</v>
      </c>
      <c r="F234" s="6" t="s">
        <v>1130</v>
      </c>
      <c r="G234" s="6" t="s">
        <v>917</v>
      </c>
      <c r="H234" s="6" t="s">
        <v>916</v>
      </c>
    </row>
    <row r="235" customFormat="false" ht="23.85" hidden="false" customHeight="false" outlineLevel="0" collapsed="false">
      <c r="A235" s="7" t="s">
        <v>1025</v>
      </c>
      <c r="B235" s="7"/>
      <c r="C235" s="7" t="n">
        <v>2009</v>
      </c>
      <c r="D235" s="6" t="s">
        <v>1131</v>
      </c>
      <c r="E235" s="6" t="s">
        <v>198</v>
      </c>
      <c r="F235" s="6" t="s">
        <v>1132</v>
      </c>
      <c r="G235" s="6" t="s">
        <v>920</v>
      </c>
      <c r="H235" s="6" t="s">
        <v>916</v>
      </c>
    </row>
    <row r="236" customFormat="false" ht="15" hidden="false" customHeight="false" outlineLevel="0" collapsed="false">
      <c r="A236" s="7" t="s">
        <v>1025</v>
      </c>
      <c r="B236" s="7"/>
      <c r="C236" s="7" t="n">
        <v>2009</v>
      </c>
      <c r="D236" s="6" t="s">
        <v>1133</v>
      </c>
      <c r="E236" s="6" t="s">
        <v>1134</v>
      </c>
      <c r="F236" s="6" t="s">
        <v>1135</v>
      </c>
      <c r="G236" s="6" t="s">
        <v>917</v>
      </c>
      <c r="H236" s="6" t="s">
        <v>916</v>
      </c>
    </row>
    <row r="237" customFormat="false" ht="15" hidden="false" customHeight="false" outlineLevel="0" collapsed="false">
      <c r="A237" s="7" t="s">
        <v>1025</v>
      </c>
      <c r="B237" s="7"/>
      <c r="C237" s="7" t="n">
        <v>2009</v>
      </c>
      <c r="D237" s="6" t="s">
        <v>1136</v>
      </c>
      <c r="E237" s="6" t="s">
        <v>162</v>
      </c>
      <c r="F237" s="6" t="s">
        <v>1137</v>
      </c>
      <c r="G237" s="6" t="s">
        <v>923</v>
      </c>
      <c r="H237" s="6" t="s">
        <v>916</v>
      </c>
    </row>
    <row r="238" customFormat="false" ht="23.85" hidden="false" customHeight="false" outlineLevel="0" collapsed="false">
      <c r="A238" s="7" t="s">
        <v>1025</v>
      </c>
      <c r="B238" s="7"/>
      <c r="C238" s="7" t="n">
        <v>2009</v>
      </c>
      <c r="D238" s="6" t="s">
        <v>1138</v>
      </c>
      <c r="E238" s="6" t="s">
        <v>594</v>
      </c>
      <c r="F238" s="6" t="s">
        <v>1139</v>
      </c>
      <c r="G238" s="6" t="s">
        <v>917</v>
      </c>
      <c r="H238" s="6" t="s">
        <v>916</v>
      </c>
    </row>
    <row r="239" customFormat="false" ht="23.85" hidden="false" customHeight="false" outlineLevel="0" collapsed="false">
      <c r="A239" s="7" t="s">
        <v>1025</v>
      </c>
      <c r="B239" s="7"/>
      <c r="C239" s="7" t="n">
        <v>2009</v>
      </c>
      <c r="D239" s="6" t="s">
        <v>1140</v>
      </c>
      <c r="E239" s="6" t="s">
        <v>210</v>
      </c>
      <c r="F239" s="6" t="s">
        <v>1141</v>
      </c>
      <c r="G239" s="6" t="s">
        <v>917</v>
      </c>
      <c r="H239" s="6" t="s">
        <v>916</v>
      </c>
    </row>
    <row r="240" customFormat="false" ht="15" hidden="false" customHeight="false" outlineLevel="0" collapsed="false">
      <c r="A240" s="7" t="s">
        <v>1025</v>
      </c>
      <c r="B240" s="7"/>
      <c r="C240" s="7" t="n">
        <v>2009</v>
      </c>
      <c r="D240" s="6" t="s">
        <v>1142</v>
      </c>
      <c r="E240" s="6" t="s">
        <v>1108</v>
      </c>
      <c r="F240" s="6" t="s">
        <v>1143</v>
      </c>
      <c r="G240" s="6" t="s">
        <v>917</v>
      </c>
      <c r="H240" s="6" t="s">
        <v>916</v>
      </c>
    </row>
    <row r="241" customFormat="false" ht="23.85" hidden="false" customHeight="false" outlineLevel="0" collapsed="false">
      <c r="A241" s="7" t="s">
        <v>1025</v>
      </c>
      <c r="B241" s="7"/>
      <c r="C241" s="7" t="n">
        <v>2009</v>
      </c>
      <c r="D241" s="6" t="s">
        <v>1144</v>
      </c>
      <c r="E241" s="6" t="s">
        <v>162</v>
      </c>
      <c r="F241" s="6" t="s">
        <v>1145</v>
      </c>
      <c r="G241" s="6" t="s">
        <v>917</v>
      </c>
      <c r="H241" s="6" t="s">
        <v>916</v>
      </c>
    </row>
    <row r="242" customFormat="false" ht="23.85" hidden="false" customHeight="false" outlineLevel="0" collapsed="false">
      <c r="A242" s="7" t="s">
        <v>1025</v>
      </c>
      <c r="B242" s="7"/>
      <c r="C242" s="7" t="n">
        <v>2009</v>
      </c>
      <c r="D242" s="6" t="s">
        <v>1146</v>
      </c>
      <c r="E242" s="6" t="s">
        <v>1108</v>
      </c>
      <c r="F242" s="6" t="s">
        <v>1147</v>
      </c>
      <c r="G242" s="6" t="s">
        <v>917</v>
      </c>
      <c r="H242" s="6" t="s">
        <v>925</v>
      </c>
    </row>
    <row r="243" customFormat="false" ht="23.85" hidden="false" customHeight="false" outlineLevel="0" collapsed="false">
      <c r="A243" s="7" t="s">
        <v>1025</v>
      </c>
      <c r="B243" s="7"/>
      <c r="C243" s="7" t="n">
        <v>2010</v>
      </c>
      <c r="D243" s="6" t="s">
        <v>1148</v>
      </c>
      <c r="E243" s="6" t="s">
        <v>1149</v>
      </c>
      <c r="F243" s="6" t="s">
        <v>1150</v>
      </c>
      <c r="G243" s="6" t="s">
        <v>917</v>
      </c>
      <c r="H243" s="6" t="s">
        <v>916</v>
      </c>
    </row>
    <row r="244" customFormat="false" ht="23.85" hidden="false" customHeight="false" outlineLevel="0" collapsed="false">
      <c r="A244" s="7" t="s">
        <v>1025</v>
      </c>
      <c r="B244" s="7"/>
      <c r="C244" s="7" t="n">
        <v>2010</v>
      </c>
      <c r="D244" s="6" t="s">
        <v>1151</v>
      </c>
      <c r="E244" s="6" t="s">
        <v>296</v>
      </c>
      <c r="F244" s="6" t="s">
        <v>1152</v>
      </c>
      <c r="G244" s="6" t="s">
        <v>923</v>
      </c>
      <c r="H244" s="6" t="s">
        <v>916</v>
      </c>
    </row>
    <row r="245" customFormat="false" ht="15" hidden="false" customHeight="false" outlineLevel="0" collapsed="false">
      <c r="A245" s="7" t="s">
        <v>1025</v>
      </c>
      <c r="B245" s="7"/>
      <c r="C245" s="7" t="n">
        <v>2010</v>
      </c>
      <c r="D245" s="6" t="s">
        <v>1153</v>
      </c>
      <c r="E245" s="6" t="s">
        <v>198</v>
      </c>
      <c r="F245" s="6" t="s">
        <v>1154</v>
      </c>
      <c r="G245" s="6" t="s">
        <v>917</v>
      </c>
      <c r="H245" s="6" t="s">
        <v>916</v>
      </c>
    </row>
    <row r="246" customFormat="false" ht="15" hidden="false" customHeight="false" outlineLevel="0" collapsed="false">
      <c r="A246" s="7" t="s">
        <v>1025</v>
      </c>
      <c r="B246" s="7"/>
      <c r="C246" s="7" t="n">
        <v>2010</v>
      </c>
      <c r="D246" s="6" t="s">
        <v>1155</v>
      </c>
      <c r="E246" s="6" t="s">
        <v>162</v>
      </c>
      <c r="F246" s="6" t="s">
        <v>1156</v>
      </c>
      <c r="G246" s="6" t="s">
        <v>919</v>
      </c>
      <c r="H246" s="6" t="s">
        <v>916</v>
      </c>
    </row>
    <row r="247" customFormat="false" ht="23.85" hidden="false" customHeight="false" outlineLevel="0" collapsed="false">
      <c r="A247" s="7" t="s">
        <v>1025</v>
      </c>
      <c r="B247" s="7"/>
      <c r="C247" s="7" t="n">
        <v>2010</v>
      </c>
      <c r="D247" s="6" t="s">
        <v>1157</v>
      </c>
      <c r="E247" s="6" t="s">
        <v>250</v>
      </c>
      <c r="F247" s="6" t="s">
        <v>1158</v>
      </c>
      <c r="G247" s="6" t="s">
        <v>917</v>
      </c>
      <c r="H247" s="6" t="s">
        <v>916</v>
      </c>
    </row>
    <row r="248" customFormat="false" ht="15" hidden="false" customHeight="false" outlineLevel="0" collapsed="false">
      <c r="A248" s="7" t="s">
        <v>1025</v>
      </c>
      <c r="B248" s="7"/>
      <c r="C248" s="7" t="n">
        <v>2010</v>
      </c>
      <c r="D248" s="6" t="s">
        <v>1159</v>
      </c>
      <c r="E248" s="6" t="s">
        <v>162</v>
      </c>
      <c r="F248" s="6" t="s">
        <v>1160</v>
      </c>
      <c r="G248" s="6" t="s">
        <v>917</v>
      </c>
      <c r="H248" s="6" t="s">
        <v>916</v>
      </c>
    </row>
    <row r="249" customFormat="false" ht="23.85" hidden="false" customHeight="false" outlineLevel="0" collapsed="false">
      <c r="A249" s="7" t="s">
        <v>1025</v>
      </c>
      <c r="B249" s="7"/>
      <c r="C249" s="7" t="n">
        <v>2010</v>
      </c>
      <c r="D249" s="6" t="s">
        <v>1161</v>
      </c>
      <c r="E249" s="6" t="s">
        <v>250</v>
      </c>
      <c r="F249" s="6" t="s">
        <v>1162</v>
      </c>
      <c r="G249" s="6" t="s">
        <v>917</v>
      </c>
      <c r="H249" s="6" t="s">
        <v>916</v>
      </c>
    </row>
    <row r="250" customFormat="false" ht="15" hidden="false" customHeight="false" outlineLevel="0" collapsed="false">
      <c r="A250" s="7" t="s">
        <v>1025</v>
      </c>
      <c r="B250" s="7"/>
      <c r="C250" s="7" t="n">
        <v>2011</v>
      </c>
      <c r="D250" s="6" t="s">
        <v>1163</v>
      </c>
      <c r="E250" s="6" t="s">
        <v>365</v>
      </c>
      <c r="F250" s="6" t="s">
        <v>1164</v>
      </c>
      <c r="G250" s="6" t="s">
        <v>917</v>
      </c>
      <c r="H250" s="6" t="s">
        <v>916</v>
      </c>
    </row>
    <row r="251" customFormat="false" ht="15" hidden="false" customHeight="false" outlineLevel="0" collapsed="false">
      <c r="A251" s="7" t="s">
        <v>1025</v>
      </c>
      <c r="B251" s="7"/>
      <c r="C251" s="7" t="n">
        <v>2011</v>
      </c>
      <c r="D251" s="6" t="s">
        <v>1165</v>
      </c>
      <c r="E251" s="6" t="s">
        <v>176</v>
      </c>
      <c r="F251" s="6" t="s">
        <v>1166</v>
      </c>
      <c r="G251" s="6" t="s">
        <v>917</v>
      </c>
      <c r="H251" s="6" t="s">
        <v>916</v>
      </c>
    </row>
    <row r="252" customFormat="false" ht="23.85" hidden="false" customHeight="false" outlineLevel="0" collapsed="false">
      <c r="A252" s="7" t="s">
        <v>1025</v>
      </c>
      <c r="B252" s="7"/>
      <c r="C252" s="7" t="n">
        <v>2011</v>
      </c>
      <c r="D252" s="6" t="s">
        <v>1167</v>
      </c>
      <c r="E252" s="6" t="s">
        <v>250</v>
      </c>
      <c r="F252" s="6" t="s">
        <v>1168</v>
      </c>
      <c r="G252" s="6" t="s">
        <v>917</v>
      </c>
      <c r="H252" s="6" t="s">
        <v>916</v>
      </c>
    </row>
    <row r="253" customFormat="false" ht="23.85" hidden="false" customHeight="false" outlineLevel="0" collapsed="false">
      <c r="A253" s="7" t="s">
        <v>1025</v>
      </c>
      <c r="B253" s="7"/>
      <c r="C253" s="7" t="n">
        <v>2011</v>
      </c>
      <c r="D253" s="6" t="s">
        <v>1169</v>
      </c>
      <c r="E253" s="6" t="s">
        <v>250</v>
      </c>
      <c r="F253" s="6" t="s">
        <v>1170</v>
      </c>
      <c r="G253" s="6" t="s">
        <v>923</v>
      </c>
      <c r="H253" s="6" t="s">
        <v>916</v>
      </c>
    </row>
    <row r="254" customFormat="false" ht="23.85" hidden="false" customHeight="false" outlineLevel="0" collapsed="false">
      <c r="A254" s="7" t="s">
        <v>1025</v>
      </c>
      <c r="B254" s="7"/>
      <c r="C254" s="7" t="n">
        <v>2011</v>
      </c>
      <c r="D254" s="6" t="s">
        <v>1171</v>
      </c>
      <c r="E254" s="6" t="s">
        <v>1172</v>
      </c>
      <c r="F254" s="6" t="s">
        <v>1173</v>
      </c>
      <c r="G254" s="6" t="s">
        <v>919</v>
      </c>
      <c r="H254" s="6" t="s">
        <v>916</v>
      </c>
    </row>
    <row r="255" customFormat="false" ht="23.85" hidden="false" customHeight="false" outlineLevel="0" collapsed="false">
      <c r="A255" s="7" t="s">
        <v>1025</v>
      </c>
      <c r="B255" s="7"/>
      <c r="C255" s="7" t="n">
        <v>2011</v>
      </c>
      <c r="D255" s="6" t="s">
        <v>1174</v>
      </c>
      <c r="E255" s="6" t="s">
        <v>198</v>
      </c>
      <c r="F255" s="6" t="s">
        <v>1175</v>
      </c>
      <c r="G255" s="6" t="s">
        <v>917</v>
      </c>
      <c r="H255" s="6" t="s">
        <v>916</v>
      </c>
    </row>
    <row r="256" customFormat="false" ht="23.85" hidden="false" customHeight="false" outlineLevel="0" collapsed="false">
      <c r="A256" s="7" t="s">
        <v>1025</v>
      </c>
      <c r="B256" s="7"/>
      <c r="C256" s="7" t="n">
        <v>2012</v>
      </c>
      <c r="D256" s="6" t="s">
        <v>1176</v>
      </c>
      <c r="E256" s="6" t="s">
        <v>1177</v>
      </c>
      <c r="F256" s="6" t="s">
        <v>1178</v>
      </c>
      <c r="G256" s="6" t="s">
        <v>917</v>
      </c>
      <c r="H256" s="6" t="s">
        <v>916</v>
      </c>
    </row>
    <row r="257" customFormat="false" ht="23.85" hidden="false" customHeight="false" outlineLevel="0" collapsed="false">
      <c r="A257" s="7" t="s">
        <v>1025</v>
      </c>
      <c r="B257" s="7"/>
      <c r="C257" s="7" t="n">
        <v>2012</v>
      </c>
      <c r="D257" s="6" t="s">
        <v>1179</v>
      </c>
      <c r="E257" s="6" t="s">
        <v>254</v>
      </c>
      <c r="F257" s="6" t="s">
        <v>1180</v>
      </c>
      <c r="G257" s="6" t="s">
        <v>917</v>
      </c>
      <c r="H257" s="6" t="s">
        <v>916</v>
      </c>
    </row>
    <row r="258" customFormat="false" ht="23.85" hidden="false" customHeight="false" outlineLevel="0" collapsed="false">
      <c r="A258" s="7" t="s">
        <v>1025</v>
      </c>
      <c r="B258" s="7"/>
      <c r="C258" s="7" t="n">
        <v>2012</v>
      </c>
      <c r="D258" s="6" t="s">
        <v>1181</v>
      </c>
      <c r="E258" s="6" t="s">
        <v>162</v>
      </c>
      <c r="F258" s="6" t="s">
        <v>1182</v>
      </c>
      <c r="G258" s="6" t="s">
        <v>919</v>
      </c>
      <c r="H258" s="6" t="s">
        <v>916</v>
      </c>
    </row>
    <row r="259" customFormat="false" ht="15" hidden="false" customHeight="false" outlineLevel="0" collapsed="false">
      <c r="A259" s="7" t="s">
        <v>1025</v>
      </c>
      <c r="B259" s="7"/>
      <c r="C259" s="7" t="n">
        <v>2012</v>
      </c>
      <c r="D259" s="6" t="s">
        <v>1183</v>
      </c>
      <c r="E259" s="6" t="s">
        <v>198</v>
      </c>
      <c r="F259" s="6" t="s">
        <v>1184</v>
      </c>
      <c r="G259" s="6" t="s">
        <v>918</v>
      </c>
      <c r="H259" s="6" t="s">
        <v>916</v>
      </c>
    </row>
    <row r="260" customFormat="false" ht="15" hidden="false" customHeight="false" outlineLevel="0" collapsed="false">
      <c r="A260" s="7" t="s">
        <v>1025</v>
      </c>
      <c r="B260" s="7"/>
      <c r="C260" s="7" t="n">
        <v>2012</v>
      </c>
      <c r="D260" s="6" t="s">
        <v>1185</v>
      </c>
      <c r="E260" s="6" t="s">
        <v>198</v>
      </c>
      <c r="F260" s="6" t="s">
        <v>1186</v>
      </c>
      <c r="G260" s="6" t="s">
        <v>1028</v>
      </c>
      <c r="H260" s="6" t="s">
        <v>916</v>
      </c>
    </row>
    <row r="261" customFormat="false" ht="15" hidden="false" customHeight="false" outlineLevel="0" collapsed="false">
      <c r="A261" s="7" t="s">
        <v>1025</v>
      </c>
      <c r="B261" s="7"/>
      <c r="C261" s="7" t="n">
        <v>2012</v>
      </c>
      <c r="D261" s="6" t="s">
        <v>1187</v>
      </c>
      <c r="E261" s="6" t="s">
        <v>162</v>
      </c>
      <c r="F261" s="6" t="s">
        <v>1188</v>
      </c>
      <c r="G261" s="6" t="s">
        <v>917</v>
      </c>
      <c r="H261" s="6" t="s">
        <v>916</v>
      </c>
    </row>
    <row r="262" customFormat="false" ht="23.85" hidden="false" customHeight="false" outlineLevel="0" collapsed="false">
      <c r="A262" s="7" t="s">
        <v>1025</v>
      </c>
      <c r="B262" s="7"/>
      <c r="C262" s="7" t="n">
        <v>2012</v>
      </c>
      <c r="D262" s="6" t="s">
        <v>1189</v>
      </c>
      <c r="E262" s="6" t="s">
        <v>250</v>
      </c>
      <c r="F262" s="6" t="s">
        <v>1190</v>
      </c>
      <c r="G262" s="6" t="s">
        <v>917</v>
      </c>
      <c r="H262" s="6" t="s">
        <v>916</v>
      </c>
    </row>
    <row r="263" customFormat="false" ht="23.85" hidden="false" customHeight="false" outlineLevel="0" collapsed="false">
      <c r="A263" s="7" t="s">
        <v>1025</v>
      </c>
      <c r="B263" s="7"/>
      <c r="C263" s="7" t="n">
        <v>2012</v>
      </c>
      <c r="D263" s="6" t="s">
        <v>1191</v>
      </c>
      <c r="E263" s="6" t="s">
        <v>250</v>
      </c>
      <c r="F263" s="6" t="s">
        <v>1192</v>
      </c>
      <c r="G263" s="6" t="s">
        <v>917</v>
      </c>
      <c r="H263" s="6" t="s">
        <v>916</v>
      </c>
    </row>
    <row r="264" customFormat="false" ht="23.85" hidden="false" customHeight="false" outlineLevel="0" collapsed="false">
      <c r="A264" s="7" t="s">
        <v>1025</v>
      </c>
      <c r="B264" s="7"/>
      <c r="C264" s="7" t="n">
        <v>2012</v>
      </c>
      <c r="D264" s="6" t="s">
        <v>1193</v>
      </c>
      <c r="E264" s="6" t="s">
        <v>172</v>
      </c>
      <c r="F264" s="6" t="s">
        <v>1194</v>
      </c>
      <c r="G264" s="6" t="s">
        <v>917</v>
      </c>
      <c r="H264" s="6" t="s">
        <v>916</v>
      </c>
    </row>
    <row r="265" customFormat="false" ht="23.85" hidden="false" customHeight="false" outlineLevel="0" collapsed="false">
      <c r="A265" s="7" t="s">
        <v>1025</v>
      </c>
      <c r="B265" s="7"/>
      <c r="C265" s="7" t="n">
        <v>2012</v>
      </c>
      <c r="D265" s="6" t="s">
        <v>1195</v>
      </c>
      <c r="E265" s="6" t="s">
        <v>1084</v>
      </c>
      <c r="F265" s="6" t="s">
        <v>1196</v>
      </c>
      <c r="G265" s="6" t="s">
        <v>917</v>
      </c>
      <c r="H265" s="6" t="s">
        <v>916</v>
      </c>
    </row>
    <row r="266" customFormat="false" ht="23.85" hidden="false" customHeight="false" outlineLevel="0" collapsed="false">
      <c r="A266" s="7" t="s">
        <v>1025</v>
      </c>
      <c r="B266" s="7"/>
      <c r="C266" s="7" t="n">
        <v>2012</v>
      </c>
      <c r="D266" s="6" t="s">
        <v>1197</v>
      </c>
      <c r="E266" s="6" t="s">
        <v>1198</v>
      </c>
      <c r="F266" s="6" t="s">
        <v>1199</v>
      </c>
      <c r="G266" s="6" t="s">
        <v>917</v>
      </c>
      <c r="H266" s="6" t="s">
        <v>916</v>
      </c>
    </row>
    <row r="267" customFormat="false" ht="23.85" hidden="false" customHeight="false" outlineLevel="0" collapsed="false">
      <c r="A267" s="7" t="s">
        <v>1025</v>
      </c>
      <c r="B267" s="7"/>
      <c r="C267" s="7" t="n">
        <v>2013</v>
      </c>
      <c r="D267" s="6" t="s">
        <v>1200</v>
      </c>
      <c r="E267" s="6" t="s">
        <v>296</v>
      </c>
      <c r="F267" s="6" t="s">
        <v>1201</v>
      </c>
      <c r="G267" s="6" t="s">
        <v>917</v>
      </c>
      <c r="H267" s="6" t="s">
        <v>916</v>
      </c>
    </row>
    <row r="268" customFormat="false" ht="23.85" hidden="false" customHeight="false" outlineLevel="0" collapsed="false">
      <c r="A268" s="7" t="s">
        <v>1025</v>
      </c>
      <c r="B268" s="7"/>
      <c r="C268" s="7" t="n">
        <v>2013</v>
      </c>
      <c r="D268" s="6" t="s">
        <v>1202</v>
      </c>
      <c r="E268" s="6" t="s">
        <v>259</v>
      </c>
      <c r="F268" s="6" t="s">
        <v>1203</v>
      </c>
      <c r="G268" s="6" t="s">
        <v>919</v>
      </c>
      <c r="H268" s="6" t="s">
        <v>916</v>
      </c>
    </row>
    <row r="269" customFormat="false" ht="15" hidden="false" customHeight="false" outlineLevel="0" collapsed="false">
      <c r="A269" s="7" t="s">
        <v>1025</v>
      </c>
      <c r="B269" s="7"/>
      <c r="C269" s="7" t="n">
        <v>2013</v>
      </c>
      <c r="D269" s="6" t="s">
        <v>1204</v>
      </c>
      <c r="E269" s="6" t="s">
        <v>162</v>
      </c>
      <c r="F269" s="6" t="s">
        <v>1205</v>
      </c>
      <c r="G269" s="6" t="s">
        <v>917</v>
      </c>
      <c r="H269" s="6" t="s">
        <v>916</v>
      </c>
    </row>
    <row r="270" customFormat="false" ht="23.85" hidden="false" customHeight="false" outlineLevel="0" collapsed="false">
      <c r="A270" s="7" t="s">
        <v>1025</v>
      </c>
      <c r="B270" s="7"/>
      <c r="C270" s="7" t="n">
        <v>2013</v>
      </c>
      <c r="D270" s="6" t="s">
        <v>1206</v>
      </c>
      <c r="E270" s="6" t="s">
        <v>250</v>
      </c>
      <c r="F270" s="6" t="s">
        <v>1207</v>
      </c>
      <c r="G270" s="6" t="s">
        <v>919</v>
      </c>
      <c r="H270" s="6" t="s">
        <v>916</v>
      </c>
    </row>
    <row r="271" customFormat="false" ht="15" hidden="false" customHeight="false" outlineLevel="0" collapsed="false">
      <c r="A271" s="7" t="s">
        <v>1025</v>
      </c>
      <c r="B271" s="7"/>
      <c r="C271" s="7" t="n">
        <v>2013</v>
      </c>
      <c r="D271" s="6" t="s">
        <v>1208</v>
      </c>
      <c r="E271" s="6" t="s">
        <v>245</v>
      </c>
      <c r="F271" s="6" t="s">
        <v>1209</v>
      </c>
      <c r="G271" s="6" t="s">
        <v>919</v>
      </c>
      <c r="H271" s="6" t="s">
        <v>916</v>
      </c>
    </row>
    <row r="272" customFormat="false" ht="23.85" hidden="false" customHeight="false" outlineLevel="0" collapsed="false">
      <c r="A272" s="7" t="s">
        <v>1025</v>
      </c>
      <c r="B272" s="7"/>
      <c r="C272" s="7" t="n">
        <v>2013</v>
      </c>
      <c r="D272" s="6" t="s">
        <v>1210</v>
      </c>
      <c r="E272" s="6" t="s">
        <v>307</v>
      </c>
      <c r="F272" s="6" t="s">
        <v>1211</v>
      </c>
      <c r="G272" s="6" t="s">
        <v>919</v>
      </c>
      <c r="H272" s="6" t="s">
        <v>916</v>
      </c>
    </row>
    <row r="273" customFormat="false" ht="15" hidden="false" customHeight="false" outlineLevel="0" collapsed="false">
      <c r="A273" s="7" t="s">
        <v>1025</v>
      </c>
      <c r="B273" s="7"/>
      <c r="C273" s="7" t="n">
        <v>2013</v>
      </c>
      <c r="D273" s="6" t="s">
        <v>1212</v>
      </c>
      <c r="E273" s="6" t="s">
        <v>514</v>
      </c>
      <c r="F273" s="6" t="s">
        <v>1213</v>
      </c>
      <c r="G273" s="6" t="s">
        <v>923</v>
      </c>
      <c r="H273" s="6" t="s">
        <v>916</v>
      </c>
    </row>
    <row r="274" customFormat="false" ht="15" hidden="false" customHeight="false" outlineLevel="0" collapsed="false">
      <c r="A274" s="7" t="s">
        <v>1025</v>
      </c>
      <c r="B274" s="7"/>
      <c r="C274" s="7" t="n">
        <v>2013</v>
      </c>
      <c r="D274" s="6" t="s">
        <v>1214</v>
      </c>
      <c r="E274" s="6" t="s">
        <v>335</v>
      </c>
      <c r="F274" s="6" t="s">
        <v>1215</v>
      </c>
      <c r="G274" s="6" t="s">
        <v>923</v>
      </c>
      <c r="H274" s="6" t="s">
        <v>916</v>
      </c>
    </row>
    <row r="275" customFormat="false" ht="15" hidden="false" customHeight="false" outlineLevel="0" collapsed="false">
      <c r="A275" s="7" t="s">
        <v>1025</v>
      </c>
      <c r="B275" s="7"/>
      <c r="C275" s="7" t="n">
        <v>2013</v>
      </c>
      <c r="D275" s="6" t="s">
        <v>1216</v>
      </c>
      <c r="E275" s="6" t="s">
        <v>210</v>
      </c>
      <c r="F275" s="6" t="s">
        <v>1217</v>
      </c>
      <c r="G275" s="6" t="s">
        <v>917</v>
      </c>
      <c r="H275" s="6" t="s">
        <v>916</v>
      </c>
    </row>
    <row r="276" customFormat="false" ht="23.85" hidden="false" customHeight="false" outlineLevel="0" collapsed="false">
      <c r="A276" s="7" t="s">
        <v>1025</v>
      </c>
      <c r="B276" s="7"/>
      <c r="C276" s="7" t="n">
        <v>2013</v>
      </c>
      <c r="D276" s="6" t="s">
        <v>1218</v>
      </c>
      <c r="E276" s="6" t="s">
        <v>162</v>
      </c>
      <c r="F276" s="6" t="s">
        <v>1219</v>
      </c>
      <c r="G276" s="6" t="s">
        <v>917</v>
      </c>
      <c r="H276" s="6" t="s">
        <v>916</v>
      </c>
    </row>
    <row r="277" customFormat="false" ht="23.85" hidden="false" customHeight="false" outlineLevel="0" collapsed="false">
      <c r="A277" s="7" t="s">
        <v>1025</v>
      </c>
      <c r="B277" s="7"/>
      <c r="C277" s="7" t="n">
        <v>2013</v>
      </c>
      <c r="D277" s="6" t="s">
        <v>1220</v>
      </c>
      <c r="E277" s="6" t="s">
        <v>1221</v>
      </c>
      <c r="F277" s="6" t="s">
        <v>1222</v>
      </c>
      <c r="G277" s="6" t="s">
        <v>923</v>
      </c>
      <c r="H277" s="6" t="s">
        <v>916</v>
      </c>
    </row>
    <row r="278" customFormat="false" ht="15" hidden="false" customHeight="false" outlineLevel="0" collapsed="false">
      <c r="A278" s="7" t="s">
        <v>1025</v>
      </c>
      <c r="B278" s="7"/>
      <c r="C278" s="7" t="n">
        <v>2014</v>
      </c>
      <c r="D278" s="6" t="s">
        <v>1223</v>
      </c>
      <c r="E278" s="6" t="s">
        <v>952</v>
      </c>
      <c r="F278" s="6" t="s">
        <v>1224</v>
      </c>
      <c r="G278" s="6" t="s">
        <v>917</v>
      </c>
      <c r="H278" s="6" t="s">
        <v>916</v>
      </c>
    </row>
    <row r="279" customFormat="false" ht="15" hidden="false" customHeight="false" outlineLevel="0" collapsed="false">
      <c r="A279" s="7" t="s">
        <v>1025</v>
      </c>
      <c r="B279" s="7"/>
      <c r="C279" s="7" t="n">
        <v>2014</v>
      </c>
      <c r="D279" s="6" t="s">
        <v>1225</v>
      </c>
      <c r="E279" s="6" t="s">
        <v>296</v>
      </c>
      <c r="F279" s="6" t="s">
        <v>1226</v>
      </c>
      <c r="G279" s="6" t="s">
        <v>919</v>
      </c>
      <c r="H279" s="6" t="s">
        <v>916</v>
      </c>
    </row>
    <row r="280" customFormat="false" ht="15" hidden="false" customHeight="false" outlineLevel="0" collapsed="false">
      <c r="A280" s="7" t="s">
        <v>1025</v>
      </c>
      <c r="B280" s="7"/>
      <c r="C280" s="7" t="n">
        <v>2014</v>
      </c>
      <c r="D280" s="6" t="s">
        <v>1227</v>
      </c>
      <c r="E280" s="6" t="s">
        <v>210</v>
      </c>
      <c r="F280" s="6" t="s">
        <v>1228</v>
      </c>
      <c r="G280" s="6" t="s">
        <v>917</v>
      </c>
      <c r="H280" s="6" t="s">
        <v>916</v>
      </c>
    </row>
    <row r="281" customFormat="false" ht="23.85" hidden="false" customHeight="false" outlineLevel="0" collapsed="false">
      <c r="A281" s="7" t="s">
        <v>1025</v>
      </c>
      <c r="B281" s="7"/>
      <c r="C281" s="7" t="n">
        <v>2014</v>
      </c>
      <c r="D281" s="6" t="s">
        <v>1229</v>
      </c>
      <c r="E281" s="6" t="s">
        <v>162</v>
      </c>
      <c r="F281" s="6" t="s">
        <v>1230</v>
      </c>
      <c r="G281" s="6" t="s">
        <v>923</v>
      </c>
      <c r="H281" s="6" t="s">
        <v>916</v>
      </c>
    </row>
    <row r="282" customFormat="false" ht="23.85" hidden="false" customHeight="false" outlineLevel="0" collapsed="false">
      <c r="A282" s="7" t="s">
        <v>1025</v>
      </c>
      <c r="B282" s="7"/>
      <c r="C282" s="7" t="n">
        <v>2014</v>
      </c>
      <c r="D282" s="6" t="s">
        <v>1231</v>
      </c>
      <c r="E282" s="6" t="s">
        <v>250</v>
      </c>
      <c r="F282" s="6" t="s">
        <v>1232</v>
      </c>
      <c r="G282" s="6" t="s">
        <v>917</v>
      </c>
      <c r="H282" s="6" t="s">
        <v>916</v>
      </c>
    </row>
    <row r="283" customFormat="false" ht="23.85" hidden="false" customHeight="false" outlineLevel="0" collapsed="false">
      <c r="A283" s="7" t="s">
        <v>1025</v>
      </c>
      <c r="B283" s="7"/>
      <c r="C283" s="7" t="n">
        <v>2014</v>
      </c>
      <c r="D283" s="6" t="s">
        <v>1233</v>
      </c>
      <c r="E283" s="6" t="s">
        <v>250</v>
      </c>
      <c r="F283" s="6" t="s">
        <v>1234</v>
      </c>
      <c r="G283" s="6" t="s">
        <v>915</v>
      </c>
      <c r="H283" s="6" t="s">
        <v>916</v>
      </c>
    </row>
    <row r="284" customFormat="false" ht="15" hidden="false" customHeight="false" outlineLevel="0" collapsed="false">
      <c r="A284" s="7" t="s">
        <v>1025</v>
      </c>
      <c r="B284" s="7"/>
      <c r="C284" s="7" t="n">
        <v>2014</v>
      </c>
      <c r="D284" s="6" t="s">
        <v>1235</v>
      </c>
      <c r="E284" s="6" t="s">
        <v>594</v>
      </c>
      <c r="F284" s="6" t="s">
        <v>1236</v>
      </c>
      <c r="G284" s="6" t="s">
        <v>923</v>
      </c>
      <c r="H284" s="6" t="s">
        <v>916</v>
      </c>
    </row>
    <row r="285" customFormat="false" ht="23.85" hidden="false" customHeight="false" outlineLevel="0" collapsed="false">
      <c r="A285" s="7" t="s">
        <v>1025</v>
      </c>
      <c r="B285" s="7"/>
      <c r="C285" s="7" t="n">
        <v>2014</v>
      </c>
      <c r="D285" s="6" t="s">
        <v>1237</v>
      </c>
      <c r="E285" s="6" t="s">
        <v>162</v>
      </c>
      <c r="F285" s="6" t="s">
        <v>1238</v>
      </c>
      <c r="G285" s="6" t="s">
        <v>917</v>
      </c>
      <c r="H285" s="6" t="s">
        <v>916</v>
      </c>
    </row>
    <row r="286" customFormat="false" ht="23.85" hidden="false" customHeight="false" outlineLevel="0" collapsed="false">
      <c r="A286" s="7" t="s">
        <v>1025</v>
      </c>
      <c r="B286" s="7"/>
      <c r="C286" s="7" t="n">
        <v>2014</v>
      </c>
      <c r="D286" s="6" t="s">
        <v>1239</v>
      </c>
      <c r="E286" s="6" t="s">
        <v>250</v>
      </c>
      <c r="F286" s="6" t="s">
        <v>1240</v>
      </c>
      <c r="G286" s="6" t="s">
        <v>917</v>
      </c>
      <c r="H286" s="6" t="s">
        <v>916</v>
      </c>
    </row>
    <row r="287" customFormat="false" ht="15" hidden="false" customHeight="false" outlineLevel="0" collapsed="false">
      <c r="A287" s="7" t="s">
        <v>1025</v>
      </c>
      <c r="B287" s="7"/>
      <c r="C287" s="7" t="n">
        <v>2015</v>
      </c>
      <c r="D287" s="6" t="s">
        <v>1241</v>
      </c>
      <c r="E287" s="6" t="s">
        <v>397</v>
      </c>
      <c r="F287" s="6" t="s">
        <v>1242</v>
      </c>
      <c r="G287" s="6" t="s">
        <v>917</v>
      </c>
      <c r="H287" s="6" t="s">
        <v>916</v>
      </c>
    </row>
    <row r="288" customFormat="false" ht="23.85" hidden="false" customHeight="false" outlineLevel="0" collapsed="false">
      <c r="A288" s="7" t="s">
        <v>1025</v>
      </c>
      <c r="B288" s="7"/>
      <c r="C288" s="7" t="n">
        <v>2015</v>
      </c>
      <c r="D288" s="6" t="s">
        <v>1243</v>
      </c>
      <c r="E288" s="6" t="s">
        <v>219</v>
      </c>
      <c r="F288" s="6" t="s">
        <v>1244</v>
      </c>
      <c r="G288" s="6" t="s">
        <v>923</v>
      </c>
      <c r="H288" s="6" t="s">
        <v>916</v>
      </c>
    </row>
    <row r="289" customFormat="false" ht="23.85" hidden="false" customHeight="false" outlineLevel="0" collapsed="false">
      <c r="A289" s="7" t="s">
        <v>1025</v>
      </c>
      <c r="B289" s="7"/>
      <c r="C289" s="7" t="n">
        <v>2015</v>
      </c>
      <c r="D289" s="6" t="s">
        <v>1245</v>
      </c>
      <c r="E289" s="6" t="s">
        <v>254</v>
      </c>
      <c r="F289" s="6" t="s">
        <v>1246</v>
      </c>
      <c r="G289" s="6" t="s">
        <v>917</v>
      </c>
      <c r="H289" s="6" t="s">
        <v>916</v>
      </c>
    </row>
    <row r="290" customFormat="false" ht="15" hidden="false" customHeight="false" outlineLevel="0" collapsed="false">
      <c r="A290" s="7" t="s">
        <v>1025</v>
      </c>
      <c r="B290" s="7"/>
      <c r="C290" s="7" t="n">
        <v>2015</v>
      </c>
      <c r="D290" s="6" t="s">
        <v>1247</v>
      </c>
      <c r="E290" s="6" t="s">
        <v>1248</v>
      </c>
      <c r="F290" s="6" t="s">
        <v>1249</v>
      </c>
      <c r="G290" s="6" t="s">
        <v>917</v>
      </c>
      <c r="H290" s="6" t="s">
        <v>916</v>
      </c>
    </row>
    <row r="291" customFormat="false" ht="23.85" hidden="false" customHeight="false" outlineLevel="0" collapsed="false">
      <c r="A291" s="7" t="s">
        <v>1025</v>
      </c>
      <c r="B291" s="7"/>
      <c r="C291" s="7" t="n">
        <v>2015</v>
      </c>
      <c r="D291" s="6" t="s">
        <v>1250</v>
      </c>
      <c r="E291" s="6" t="s">
        <v>1251</v>
      </c>
      <c r="F291" s="6" t="s">
        <v>1252</v>
      </c>
      <c r="G291" s="6" t="s">
        <v>919</v>
      </c>
      <c r="H291" s="6" t="s">
        <v>916</v>
      </c>
    </row>
    <row r="292" customFormat="false" ht="23.85" hidden="false" customHeight="false" outlineLevel="0" collapsed="false">
      <c r="A292" s="7" t="s">
        <v>1025</v>
      </c>
      <c r="B292" s="7"/>
      <c r="C292" s="7" t="n">
        <v>2015</v>
      </c>
      <c r="D292" s="6" t="s">
        <v>1253</v>
      </c>
      <c r="E292" s="6" t="s">
        <v>219</v>
      </c>
      <c r="F292" s="6" t="s">
        <v>1254</v>
      </c>
      <c r="G292" s="6" t="s">
        <v>919</v>
      </c>
      <c r="H292" s="6" t="s">
        <v>916</v>
      </c>
    </row>
    <row r="293" customFormat="false" ht="23.85" hidden="false" customHeight="false" outlineLevel="0" collapsed="false">
      <c r="A293" s="7" t="s">
        <v>1025</v>
      </c>
      <c r="B293" s="7"/>
      <c r="C293" s="7" t="n">
        <v>2015</v>
      </c>
      <c r="D293" s="6" t="s">
        <v>1255</v>
      </c>
      <c r="E293" s="6" t="s">
        <v>198</v>
      </c>
      <c r="F293" s="6" t="s">
        <v>1256</v>
      </c>
      <c r="G293" s="6" t="s">
        <v>917</v>
      </c>
      <c r="H293" s="6" t="s">
        <v>916</v>
      </c>
    </row>
    <row r="294" customFormat="false" ht="23.85" hidden="false" customHeight="false" outlineLevel="0" collapsed="false">
      <c r="A294" s="7" t="s">
        <v>1025</v>
      </c>
      <c r="B294" s="7"/>
      <c r="C294" s="7" t="n">
        <v>2015</v>
      </c>
      <c r="D294" s="6" t="s">
        <v>1257</v>
      </c>
      <c r="E294" s="6" t="s">
        <v>198</v>
      </c>
      <c r="F294" s="6" t="s">
        <v>1258</v>
      </c>
      <c r="G294" s="6" t="s">
        <v>917</v>
      </c>
      <c r="H294" s="6" t="s">
        <v>916</v>
      </c>
    </row>
    <row r="295" customFormat="false" ht="23.85" hidden="false" customHeight="false" outlineLevel="0" collapsed="false">
      <c r="A295" s="7" t="s">
        <v>1025</v>
      </c>
      <c r="B295" s="7"/>
      <c r="C295" s="7" t="n">
        <v>2015</v>
      </c>
      <c r="D295" s="6" t="s">
        <v>1259</v>
      </c>
      <c r="E295" s="6" t="s">
        <v>149</v>
      </c>
      <c r="F295" s="6" t="s">
        <v>1260</v>
      </c>
      <c r="G295" s="6" t="s">
        <v>923</v>
      </c>
      <c r="H295" s="6" t="s">
        <v>925</v>
      </c>
    </row>
    <row r="296" customFormat="false" ht="15" hidden="false" customHeight="false" outlineLevel="0" collapsed="false">
      <c r="A296" s="7" t="s">
        <v>1025</v>
      </c>
      <c r="B296" s="7"/>
      <c r="C296" s="7" t="n">
        <v>2015</v>
      </c>
      <c r="D296" s="6" t="s">
        <v>1261</v>
      </c>
      <c r="E296" s="6" t="s">
        <v>1108</v>
      </c>
      <c r="F296" s="6" t="s">
        <v>1262</v>
      </c>
      <c r="G296" s="6" t="s">
        <v>917</v>
      </c>
      <c r="H296" s="6" t="s">
        <v>925</v>
      </c>
    </row>
    <row r="297" customFormat="false" ht="15" hidden="false" customHeight="false" outlineLevel="0" collapsed="false">
      <c r="A297" s="7" t="s">
        <v>1025</v>
      </c>
      <c r="B297" s="7"/>
      <c r="C297" s="7" t="n">
        <v>2016</v>
      </c>
      <c r="D297" s="6" t="s">
        <v>1263</v>
      </c>
      <c r="E297" s="6" t="s">
        <v>229</v>
      </c>
      <c r="F297" s="6" t="s">
        <v>1264</v>
      </c>
      <c r="G297" s="6" t="s">
        <v>919</v>
      </c>
      <c r="H297" s="6" t="s">
        <v>916</v>
      </c>
    </row>
    <row r="298" customFormat="false" ht="23.85" hidden="false" customHeight="false" outlineLevel="0" collapsed="false">
      <c r="A298" s="7" t="s">
        <v>1025</v>
      </c>
      <c r="B298" s="7"/>
      <c r="C298" s="7" t="n">
        <v>2016</v>
      </c>
      <c r="D298" s="6" t="s">
        <v>1265</v>
      </c>
      <c r="E298" s="6" t="s">
        <v>250</v>
      </c>
      <c r="F298" s="6" t="s">
        <v>1266</v>
      </c>
      <c r="G298" s="6" t="s">
        <v>919</v>
      </c>
      <c r="H298" s="6" t="s">
        <v>916</v>
      </c>
    </row>
    <row r="299" customFormat="false" ht="23.85" hidden="false" customHeight="false" outlineLevel="0" collapsed="false">
      <c r="A299" s="7" t="s">
        <v>1025</v>
      </c>
      <c r="B299" s="7"/>
      <c r="C299" s="7" t="n">
        <v>2016</v>
      </c>
      <c r="D299" s="6" t="s">
        <v>1267</v>
      </c>
      <c r="E299" s="6" t="s">
        <v>1268</v>
      </c>
      <c r="F299" s="6" t="s">
        <v>1269</v>
      </c>
      <c r="G299" s="6" t="s">
        <v>1270</v>
      </c>
      <c r="H299" s="6" t="s">
        <v>916</v>
      </c>
    </row>
    <row r="300" customFormat="false" ht="23.85" hidden="false" customHeight="false" outlineLevel="0" collapsed="false">
      <c r="A300" s="7" t="s">
        <v>1025</v>
      </c>
      <c r="B300" s="7"/>
      <c r="C300" s="7" t="n">
        <v>2017</v>
      </c>
      <c r="D300" s="6" t="s">
        <v>1271</v>
      </c>
      <c r="E300" s="6" t="s">
        <v>1272</v>
      </c>
      <c r="F300" s="6" t="s">
        <v>1273</v>
      </c>
      <c r="G300" s="6" t="s">
        <v>917</v>
      </c>
      <c r="H300" s="6" t="s">
        <v>916</v>
      </c>
    </row>
    <row r="301" customFormat="false" ht="25.35" hidden="false" customHeight="false" outlineLevel="0" collapsed="false">
      <c r="A301" s="7" t="s">
        <v>1025</v>
      </c>
      <c r="B301" s="7"/>
      <c r="C301" s="7" t="n">
        <v>2017</v>
      </c>
      <c r="D301" s="6" t="s">
        <v>1274</v>
      </c>
      <c r="E301" s="7" t="s">
        <v>1275</v>
      </c>
      <c r="F301" s="6" t="s">
        <v>1276</v>
      </c>
      <c r="G301" s="6" t="s">
        <v>917</v>
      </c>
      <c r="H301" s="6" t="s">
        <v>916</v>
      </c>
    </row>
    <row r="302" customFormat="false" ht="15" hidden="false" customHeight="false" outlineLevel="0" collapsed="false">
      <c r="A302" s="7" t="s">
        <v>1025</v>
      </c>
      <c r="B302" s="7"/>
      <c r="C302" s="7" t="n">
        <v>2017</v>
      </c>
      <c r="D302" s="6" t="s">
        <v>1277</v>
      </c>
      <c r="E302" s="6" t="s">
        <v>397</v>
      </c>
      <c r="F302" s="6" t="s">
        <v>1278</v>
      </c>
      <c r="G302" s="6" t="s">
        <v>923</v>
      </c>
      <c r="H302" s="6" t="s">
        <v>916</v>
      </c>
    </row>
    <row r="303" customFormat="false" ht="23.85" hidden="false" customHeight="false" outlineLevel="0" collapsed="false">
      <c r="A303" s="7" t="s">
        <v>1025</v>
      </c>
      <c r="B303" s="7"/>
      <c r="C303" s="7" t="n">
        <v>2017</v>
      </c>
      <c r="D303" s="6" t="s">
        <v>1279</v>
      </c>
      <c r="E303" s="6" t="s">
        <v>1280</v>
      </c>
      <c r="F303" s="6" t="s">
        <v>1281</v>
      </c>
      <c r="G303" s="6" t="s">
        <v>920</v>
      </c>
      <c r="H303" s="6" t="s">
        <v>916</v>
      </c>
    </row>
    <row r="304" customFormat="false" ht="23.85" hidden="false" customHeight="false" outlineLevel="0" collapsed="false">
      <c r="A304" s="7" t="s">
        <v>1025</v>
      </c>
      <c r="B304" s="7"/>
      <c r="C304" s="7" t="n">
        <v>2017</v>
      </c>
      <c r="D304" s="6" t="s">
        <v>1282</v>
      </c>
      <c r="E304" s="6" t="s">
        <v>219</v>
      </c>
      <c r="F304" s="6" t="s">
        <v>1283</v>
      </c>
      <c r="G304" s="6" t="s">
        <v>917</v>
      </c>
      <c r="H304" s="6" t="s">
        <v>916</v>
      </c>
    </row>
    <row r="305" customFormat="false" ht="23.85" hidden="false" customHeight="false" outlineLevel="0" collapsed="false">
      <c r="A305" s="7" t="s">
        <v>1025</v>
      </c>
      <c r="B305" s="7"/>
      <c r="C305" s="7" t="n">
        <v>2018</v>
      </c>
      <c r="D305" s="6" t="s">
        <v>1284</v>
      </c>
      <c r="E305" s="6" t="s">
        <v>307</v>
      </c>
      <c r="F305" s="6" t="s">
        <v>1285</v>
      </c>
      <c r="G305" s="6" t="s">
        <v>919</v>
      </c>
      <c r="H305" s="6" t="s">
        <v>916</v>
      </c>
    </row>
    <row r="306" customFormat="false" ht="15" hidden="false" customHeight="false" outlineLevel="0" collapsed="false">
      <c r="A306" s="7" t="s">
        <v>1025</v>
      </c>
      <c r="B306" s="7"/>
      <c r="C306" s="7" t="n">
        <v>2018</v>
      </c>
      <c r="D306" s="6" t="s">
        <v>1286</v>
      </c>
      <c r="E306" s="6" t="s">
        <v>296</v>
      </c>
      <c r="F306" s="6" t="s">
        <v>1287</v>
      </c>
      <c r="G306" s="6" t="s">
        <v>917</v>
      </c>
      <c r="H306" s="6" t="s">
        <v>916</v>
      </c>
    </row>
    <row r="307" customFormat="false" ht="15" hidden="false" customHeight="false" outlineLevel="0" collapsed="false">
      <c r="A307" s="7" t="s">
        <v>1025</v>
      </c>
      <c r="B307" s="7"/>
      <c r="C307" s="7" t="n">
        <v>2018</v>
      </c>
      <c r="D307" s="6" t="s">
        <v>1288</v>
      </c>
      <c r="E307" s="6" t="s">
        <v>198</v>
      </c>
      <c r="F307" s="6" t="s">
        <v>1289</v>
      </c>
      <c r="G307" s="6" t="s">
        <v>915</v>
      </c>
      <c r="H307" s="6" t="s">
        <v>916</v>
      </c>
    </row>
    <row r="308" customFormat="false" ht="15" hidden="false" customHeight="false" outlineLevel="0" collapsed="false">
      <c r="A308" s="7" t="s">
        <v>1025</v>
      </c>
      <c r="B308" s="7"/>
      <c r="C308" s="7" t="n">
        <v>2018</v>
      </c>
      <c r="D308" s="6" t="s">
        <v>1290</v>
      </c>
      <c r="E308" s="6" t="s">
        <v>162</v>
      </c>
      <c r="F308" s="6" t="s">
        <v>1291</v>
      </c>
      <c r="G308" s="6" t="s">
        <v>923</v>
      </c>
      <c r="H308" s="6" t="s">
        <v>916</v>
      </c>
    </row>
    <row r="309" customFormat="false" ht="15" hidden="false" customHeight="false" outlineLevel="0" collapsed="false">
      <c r="A309" s="7" t="s">
        <v>1025</v>
      </c>
      <c r="B309" s="7"/>
      <c r="C309" s="7" t="n">
        <v>2018</v>
      </c>
      <c r="D309" s="6" t="s">
        <v>1292</v>
      </c>
      <c r="E309" s="6" t="s">
        <v>1293</v>
      </c>
      <c r="F309" s="6" t="s">
        <v>1294</v>
      </c>
      <c r="G309" s="6" t="s">
        <v>919</v>
      </c>
      <c r="H309" s="6" t="s">
        <v>916</v>
      </c>
    </row>
    <row r="310" customFormat="false" ht="23.85" hidden="false" customHeight="false" outlineLevel="0" collapsed="false">
      <c r="A310" s="7" t="s">
        <v>1025</v>
      </c>
      <c r="B310" s="7"/>
      <c r="C310" s="7" t="n">
        <v>2018</v>
      </c>
      <c r="D310" s="6" t="s">
        <v>1295</v>
      </c>
      <c r="E310" s="6" t="s">
        <v>250</v>
      </c>
      <c r="F310" s="6" t="s">
        <v>1296</v>
      </c>
      <c r="G310" s="6" t="s">
        <v>917</v>
      </c>
      <c r="H310" s="6" t="s">
        <v>916</v>
      </c>
    </row>
    <row r="311" customFormat="false" ht="23.85" hidden="false" customHeight="false" outlineLevel="0" collapsed="false">
      <c r="A311" s="7" t="s">
        <v>1025</v>
      </c>
      <c r="B311" s="7"/>
      <c r="C311" s="7" t="n">
        <v>2018</v>
      </c>
      <c r="D311" s="6" t="s">
        <v>1297</v>
      </c>
      <c r="E311" s="6" t="s">
        <v>198</v>
      </c>
      <c r="F311" s="6" t="s">
        <v>1298</v>
      </c>
      <c r="G311" s="6" t="s">
        <v>919</v>
      </c>
      <c r="H311" s="6" t="s">
        <v>916</v>
      </c>
    </row>
    <row r="312" customFormat="false" ht="15" hidden="false" customHeight="false" outlineLevel="0" collapsed="false">
      <c r="A312" s="7" t="s">
        <v>1025</v>
      </c>
      <c r="B312" s="7"/>
      <c r="C312" s="7" t="n">
        <v>2018</v>
      </c>
      <c r="D312" s="6" t="s">
        <v>1299</v>
      </c>
      <c r="E312" s="6" t="s">
        <v>198</v>
      </c>
      <c r="F312" s="6" t="s">
        <v>1300</v>
      </c>
      <c r="G312" s="6" t="s">
        <v>917</v>
      </c>
      <c r="H312" s="6" t="s">
        <v>916</v>
      </c>
    </row>
    <row r="313" customFormat="false" ht="23.85" hidden="false" customHeight="false" outlineLevel="0" collapsed="false">
      <c r="A313" s="7" t="s">
        <v>1025</v>
      </c>
      <c r="B313" s="7"/>
      <c r="C313" s="7" t="n">
        <v>2018</v>
      </c>
      <c r="D313" s="6" t="s">
        <v>1301</v>
      </c>
      <c r="E313" s="6" t="s">
        <v>1302</v>
      </c>
      <c r="F313" s="6" t="s">
        <v>1303</v>
      </c>
      <c r="G313" s="6" t="s">
        <v>917</v>
      </c>
      <c r="H313" s="6" t="s">
        <v>916</v>
      </c>
    </row>
    <row r="314" customFormat="false" ht="15" hidden="false" customHeight="false" outlineLevel="0" collapsed="false">
      <c r="A314" s="7" t="s">
        <v>1025</v>
      </c>
      <c r="B314" s="7"/>
      <c r="C314" s="7" t="n">
        <v>2018</v>
      </c>
      <c r="D314" s="6" t="s">
        <v>1304</v>
      </c>
      <c r="E314" s="6" t="s">
        <v>125</v>
      </c>
      <c r="F314" s="6" t="s">
        <v>1305</v>
      </c>
      <c r="G314" s="6" t="s">
        <v>923</v>
      </c>
      <c r="H314" s="6" t="s">
        <v>925</v>
      </c>
    </row>
    <row r="315" customFormat="false" ht="23.85" hidden="false" customHeight="false" outlineLevel="0" collapsed="false">
      <c r="A315" s="7" t="s">
        <v>1025</v>
      </c>
      <c r="B315" s="7"/>
      <c r="C315" s="7" t="n">
        <v>2019</v>
      </c>
      <c r="D315" s="6" t="s">
        <v>1306</v>
      </c>
      <c r="E315" s="6" t="s">
        <v>307</v>
      </c>
      <c r="F315" s="6" t="s">
        <v>1307</v>
      </c>
      <c r="G315" s="6" t="s">
        <v>919</v>
      </c>
      <c r="H315" s="6" t="s">
        <v>916</v>
      </c>
    </row>
    <row r="316" customFormat="false" ht="23.85" hidden="false" customHeight="false" outlineLevel="0" collapsed="false">
      <c r="A316" s="7" t="s">
        <v>1025</v>
      </c>
      <c r="B316" s="7"/>
      <c r="C316" s="7" t="n">
        <v>2019</v>
      </c>
      <c r="D316" s="6" t="s">
        <v>1308</v>
      </c>
      <c r="E316" s="6" t="s">
        <v>229</v>
      </c>
      <c r="F316" s="6" t="s">
        <v>1309</v>
      </c>
      <c r="G316" s="6" t="s">
        <v>919</v>
      </c>
      <c r="H316" s="6" t="s">
        <v>916</v>
      </c>
    </row>
    <row r="317" customFormat="false" ht="23.85" hidden="false" customHeight="false" outlineLevel="0" collapsed="false">
      <c r="A317" s="7" t="s">
        <v>1025</v>
      </c>
      <c r="B317" s="7"/>
      <c r="C317" s="7" t="n">
        <v>2019</v>
      </c>
      <c r="D317" s="6" t="s">
        <v>1310</v>
      </c>
      <c r="E317" s="6" t="s">
        <v>250</v>
      </c>
      <c r="F317" s="6" t="s">
        <v>1311</v>
      </c>
      <c r="G317" s="6" t="s">
        <v>917</v>
      </c>
      <c r="H317" s="6" t="s">
        <v>916</v>
      </c>
    </row>
    <row r="318" customFormat="false" ht="23.85" hidden="false" customHeight="false" outlineLevel="0" collapsed="false">
      <c r="A318" s="7" t="s">
        <v>1025</v>
      </c>
      <c r="B318" s="7"/>
      <c r="C318" s="7" t="n">
        <v>2019</v>
      </c>
      <c r="D318" s="6" t="s">
        <v>1312</v>
      </c>
      <c r="E318" s="6" t="s">
        <v>219</v>
      </c>
      <c r="F318" s="6" t="s">
        <v>1313</v>
      </c>
      <c r="G318" s="6" t="s">
        <v>919</v>
      </c>
      <c r="H318" s="6" t="s">
        <v>916</v>
      </c>
    </row>
    <row r="319" customFormat="false" ht="15" hidden="false" customHeight="false" outlineLevel="0" collapsed="false">
      <c r="A319" s="7" t="s">
        <v>1025</v>
      </c>
      <c r="B319" s="7"/>
      <c r="C319" s="7" t="n">
        <v>2019</v>
      </c>
      <c r="D319" s="6" t="s">
        <v>1314</v>
      </c>
      <c r="E319" s="6" t="s">
        <v>296</v>
      </c>
      <c r="F319" s="6" t="s">
        <v>1315</v>
      </c>
      <c r="G319" s="6" t="s">
        <v>919</v>
      </c>
      <c r="H319" s="6" t="s">
        <v>916</v>
      </c>
    </row>
    <row r="320" customFormat="false" ht="23.85" hidden="false" customHeight="false" outlineLevel="0" collapsed="false">
      <c r="A320" s="7" t="s">
        <v>1025</v>
      </c>
      <c r="B320" s="7"/>
      <c r="C320" s="7" t="n">
        <v>2019</v>
      </c>
      <c r="D320" s="6" t="s">
        <v>1316</v>
      </c>
      <c r="E320" s="6" t="s">
        <v>1317</v>
      </c>
      <c r="F320" s="6" t="s">
        <v>1318</v>
      </c>
      <c r="G320" s="6" t="s">
        <v>917</v>
      </c>
      <c r="H320" s="6" t="s">
        <v>916</v>
      </c>
    </row>
    <row r="321" customFormat="false" ht="15" hidden="false" customHeight="false" outlineLevel="0" collapsed="false">
      <c r="A321" s="7" t="s">
        <v>1025</v>
      </c>
      <c r="B321" s="7"/>
      <c r="C321" s="7" t="n">
        <v>2019</v>
      </c>
      <c r="D321" s="6" t="s">
        <v>1319</v>
      </c>
      <c r="E321" s="6" t="s">
        <v>162</v>
      </c>
      <c r="F321" s="6" t="s">
        <v>1320</v>
      </c>
      <c r="G321" s="6" t="s">
        <v>917</v>
      </c>
      <c r="H321" s="6" t="s">
        <v>916</v>
      </c>
    </row>
    <row r="322" customFormat="false" ht="15" hidden="false" customHeight="false" outlineLevel="0" collapsed="false">
      <c r="A322" s="7" t="s">
        <v>1025</v>
      </c>
      <c r="B322" s="7"/>
      <c r="C322" s="7" t="n">
        <v>2019</v>
      </c>
      <c r="D322" s="6" t="s">
        <v>1321</v>
      </c>
      <c r="E322" s="6" t="s">
        <v>125</v>
      </c>
      <c r="F322" s="6" t="s">
        <v>1322</v>
      </c>
      <c r="G322" s="6" t="s">
        <v>923</v>
      </c>
      <c r="H322" s="6" t="s">
        <v>925</v>
      </c>
    </row>
    <row r="323" customFormat="false" ht="23.85" hidden="false" customHeight="false" outlineLevel="0" collapsed="false">
      <c r="A323" s="7" t="s">
        <v>1025</v>
      </c>
      <c r="B323" s="7"/>
      <c r="C323" s="7" t="n">
        <v>2019</v>
      </c>
      <c r="D323" s="6" t="s">
        <v>1323</v>
      </c>
      <c r="E323" s="6" t="s">
        <v>77</v>
      </c>
      <c r="F323" s="6" t="s">
        <v>1324</v>
      </c>
      <c r="G323" s="6" t="s">
        <v>923</v>
      </c>
      <c r="H323" s="6" t="s">
        <v>925</v>
      </c>
    </row>
    <row r="324" customFormat="false" ht="23.85" hidden="false" customHeight="false" outlineLevel="0" collapsed="false">
      <c r="A324" s="7" t="s">
        <v>1025</v>
      </c>
      <c r="B324" s="7"/>
      <c r="C324" s="7" t="n">
        <v>2020</v>
      </c>
      <c r="D324" s="6" t="s">
        <v>1325</v>
      </c>
      <c r="E324" s="6" t="s">
        <v>952</v>
      </c>
      <c r="F324" s="6" t="s">
        <v>1326</v>
      </c>
      <c r="G324" s="6" t="s">
        <v>923</v>
      </c>
      <c r="H324" s="6" t="s">
        <v>916</v>
      </c>
    </row>
    <row r="325" customFormat="false" ht="15" hidden="false" customHeight="false" outlineLevel="0" collapsed="false">
      <c r="A325" s="7" t="s">
        <v>1025</v>
      </c>
      <c r="B325" s="7"/>
      <c r="C325" s="7" t="n">
        <v>2020</v>
      </c>
      <c r="D325" s="6" t="s">
        <v>1327</v>
      </c>
      <c r="E325" s="6" t="s">
        <v>210</v>
      </c>
      <c r="F325" s="6" t="s">
        <v>1328</v>
      </c>
      <c r="G325" s="6" t="s">
        <v>923</v>
      </c>
      <c r="H325" s="6" t="s">
        <v>916</v>
      </c>
    </row>
    <row r="326" customFormat="false" ht="15" hidden="false" customHeight="false" outlineLevel="0" collapsed="false">
      <c r="A326" s="7" t="s">
        <v>1025</v>
      </c>
      <c r="B326" s="7"/>
      <c r="C326" s="7" t="n">
        <v>2020</v>
      </c>
      <c r="D326" s="6" t="s">
        <v>1329</v>
      </c>
      <c r="E326" s="6" t="s">
        <v>162</v>
      </c>
      <c r="F326" s="6" t="s">
        <v>1330</v>
      </c>
      <c r="G326" s="6" t="s">
        <v>917</v>
      </c>
      <c r="H326" s="6" t="s">
        <v>916</v>
      </c>
    </row>
    <row r="327" customFormat="false" ht="23.85" hidden="false" customHeight="false" outlineLevel="0" collapsed="false">
      <c r="A327" s="7" t="s">
        <v>1025</v>
      </c>
      <c r="B327" s="7"/>
      <c r="C327" s="7" t="n">
        <v>2020</v>
      </c>
      <c r="D327" s="6" t="s">
        <v>1331</v>
      </c>
      <c r="E327" s="6" t="s">
        <v>330</v>
      </c>
      <c r="F327" s="6" t="s">
        <v>1332</v>
      </c>
      <c r="G327" s="6" t="s">
        <v>1028</v>
      </c>
      <c r="H327" s="6" t="s">
        <v>916</v>
      </c>
    </row>
    <row r="328" customFormat="false" ht="23.85" hidden="false" customHeight="false" outlineLevel="0" collapsed="false">
      <c r="A328" s="7" t="s">
        <v>1025</v>
      </c>
      <c r="B328" s="7"/>
      <c r="C328" s="7" t="n">
        <v>2020</v>
      </c>
      <c r="D328" s="6" t="s">
        <v>1333</v>
      </c>
      <c r="E328" s="6" t="s">
        <v>1334</v>
      </c>
      <c r="F328" s="6" t="s">
        <v>1335</v>
      </c>
      <c r="G328" s="6" t="s">
        <v>919</v>
      </c>
      <c r="H328" s="6" t="s">
        <v>916</v>
      </c>
    </row>
    <row r="329" customFormat="false" ht="23.85" hidden="false" customHeight="false" outlineLevel="0" collapsed="false">
      <c r="A329" s="7" t="s">
        <v>1025</v>
      </c>
      <c r="B329" s="7"/>
      <c r="C329" s="7" t="n">
        <v>2020</v>
      </c>
      <c r="D329" s="6" t="s">
        <v>1336</v>
      </c>
      <c r="E329" s="6" t="s">
        <v>1334</v>
      </c>
      <c r="F329" s="6" t="s">
        <v>1337</v>
      </c>
      <c r="G329" s="6" t="s">
        <v>917</v>
      </c>
      <c r="H329" s="6" t="s">
        <v>916</v>
      </c>
    </row>
    <row r="330" customFormat="false" ht="15" hidden="false" customHeight="false" outlineLevel="0" collapsed="false">
      <c r="A330" s="7" t="s">
        <v>1025</v>
      </c>
      <c r="B330" s="7"/>
      <c r="C330" s="7" t="n">
        <v>2020</v>
      </c>
      <c r="D330" s="6" t="s">
        <v>1338</v>
      </c>
      <c r="E330" s="6" t="s">
        <v>1339</v>
      </c>
      <c r="F330" s="6" t="s">
        <v>1340</v>
      </c>
      <c r="G330" s="6" t="s">
        <v>917</v>
      </c>
      <c r="H330" s="6" t="s">
        <v>916</v>
      </c>
    </row>
    <row r="331" customFormat="false" ht="23.85" hidden="false" customHeight="false" outlineLevel="0" collapsed="false">
      <c r="A331" s="7" t="s">
        <v>1025</v>
      </c>
      <c r="B331" s="7"/>
      <c r="C331" s="7" t="n">
        <v>2020</v>
      </c>
      <c r="D331" s="6" t="s">
        <v>1341</v>
      </c>
      <c r="E331" s="6" t="s">
        <v>210</v>
      </c>
      <c r="F331" s="6" t="s">
        <v>1342</v>
      </c>
      <c r="G331" s="6" t="s">
        <v>917</v>
      </c>
      <c r="H331" s="6" t="s">
        <v>916</v>
      </c>
    </row>
    <row r="332" customFormat="false" ht="23.85" hidden="false" customHeight="false" outlineLevel="0" collapsed="false">
      <c r="A332" s="7" t="s">
        <v>1025</v>
      </c>
      <c r="B332" s="7"/>
      <c r="C332" s="7" t="n">
        <v>2020</v>
      </c>
      <c r="D332" s="6" t="s">
        <v>1343</v>
      </c>
      <c r="E332" s="6" t="s">
        <v>469</v>
      </c>
      <c r="F332" s="6" t="s">
        <v>1344</v>
      </c>
      <c r="G332" s="6" t="s">
        <v>917</v>
      </c>
      <c r="H332" s="6" t="s">
        <v>916</v>
      </c>
    </row>
    <row r="333" customFormat="false" ht="15" hidden="false" customHeight="false" outlineLevel="0" collapsed="false">
      <c r="A333" s="7" t="s">
        <v>1025</v>
      </c>
      <c r="B333" s="7"/>
      <c r="C333" s="7" t="n">
        <v>2020</v>
      </c>
      <c r="D333" s="6" t="s">
        <v>1345</v>
      </c>
      <c r="E333" s="6" t="s">
        <v>1346</v>
      </c>
      <c r="F333" s="6" t="s">
        <v>1347</v>
      </c>
      <c r="G333" s="6" t="s">
        <v>917</v>
      </c>
      <c r="H333" s="6" t="s">
        <v>916</v>
      </c>
    </row>
    <row r="334" customFormat="false" ht="23.85" hidden="false" customHeight="false" outlineLevel="0" collapsed="false">
      <c r="A334" s="7" t="s">
        <v>1025</v>
      </c>
      <c r="B334" s="7"/>
      <c r="C334" s="7" t="n">
        <v>2021</v>
      </c>
      <c r="D334" s="6" t="s">
        <v>1348</v>
      </c>
      <c r="E334" s="6" t="s">
        <v>219</v>
      </c>
      <c r="F334" s="6" t="s">
        <v>1349</v>
      </c>
      <c r="G334" s="6" t="s">
        <v>919</v>
      </c>
      <c r="H334" s="6" t="s">
        <v>916</v>
      </c>
    </row>
    <row r="335" customFormat="false" ht="23.85" hidden="false" customHeight="false" outlineLevel="0" collapsed="false">
      <c r="A335" s="7" t="s">
        <v>1025</v>
      </c>
      <c r="B335" s="7"/>
      <c r="C335" s="7" t="n">
        <v>2021</v>
      </c>
      <c r="D335" s="6" t="s">
        <v>1350</v>
      </c>
      <c r="E335" s="6" t="s">
        <v>219</v>
      </c>
      <c r="F335" s="6" t="s">
        <v>1351</v>
      </c>
      <c r="G335" s="6" t="s">
        <v>919</v>
      </c>
      <c r="H335" s="6" t="s">
        <v>916</v>
      </c>
    </row>
    <row r="336" customFormat="false" ht="23.85" hidden="false" customHeight="false" outlineLevel="0" collapsed="false">
      <c r="A336" s="7" t="s">
        <v>1025</v>
      </c>
      <c r="B336" s="7"/>
      <c r="C336" s="7" t="n">
        <v>2021</v>
      </c>
      <c r="D336" s="6" t="s">
        <v>1352</v>
      </c>
      <c r="E336" s="6" t="s">
        <v>1353</v>
      </c>
      <c r="F336" s="6" t="s">
        <v>1354</v>
      </c>
      <c r="G336" s="6" t="s">
        <v>919</v>
      </c>
      <c r="H336" s="6" t="s">
        <v>916</v>
      </c>
    </row>
    <row r="337" customFormat="false" ht="23.85" hidden="false" customHeight="false" outlineLevel="0" collapsed="false">
      <c r="A337" s="7" t="s">
        <v>1025</v>
      </c>
      <c r="B337" s="7"/>
      <c r="C337" s="7" t="n">
        <v>2021</v>
      </c>
      <c r="D337" s="6" t="s">
        <v>1355</v>
      </c>
      <c r="E337" s="6" t="s">
        <v>296</v>
      </c>
      <c r="F337" s="6" t="s">
        <v>1356</v>
      </c>
      <c r="G337" s="6" t="s">
        <v>919</v>
      </c>
      <c r="H337" s="6" t="s">
        <v>916</v>
      </c>
    </row>
    <row r="338" customFormat="false" ht="15" hidden="false" customHeight="false" outlineLevel="0" collapsed="false">
      <c r="A338" s="7" t="s">
        <v>1025</v>
      </c>
      <c r="B338" s="7"/>
      <c r="C338" s="7" t="n">
        <v>2021</v>
      </c>
      <c r="D338" s="6" t="s">
        <v>1357</v>
      </c>
      <c r="E338" s="6" t="s">
        <v>1358</v>
      </c>
      <c r="F338" s="6" t="s">
        <v>1359</v>
      </c>
      <c r="G338" s="6" t="s">
        <v>923</v>
      </c>
      <c r="H338" s="6" t="s">
        <v>916</v>
      </c>
    </row>
    <row r="339" customFormat="false" ht="23.85" hidden="false" customHeight="false" outlineLevel="0" collapsed="false">
      <c r="A339" s="7" t="s">
        <v>1025</v>
      </c>
      <c r="B339" s="7"/>
      <c r="C339" s="7" t="n">
        <v>2021</v>
      </c>
      <c r="D339" s="6" t="s">
        <v>1360</v>
      </c>
      <c r="E339" s="6" t="s">
        <v>219</v>
      </c>
      <c r="F339" s="6" t="s">
        <v>1361</v>
      </c>
      <c r="G339" s="6" t="s">
        <v>917</v>
      </c>
      <c r="H339" s="6" t="s">
        <v>916</v>
      </c>
    </row>
    <row r="340" customFormat="false" ht="23.85" hidden="false" customHeight="false" outlineLevel="0" collapsed="false">
      <c r="A340" s="7" t="s">
        <v>1025</v>
      </c>
      <c r="B340" s="7"/>
      <c r="C340" s="7" t="n">
        <v>2021</v>
      </c>
      <c r="D340" s="6" t="s">
        <v>1362</v>
      </c>
      <c r="E340" s="6" t="s">
        <v>210</v>
      </c>
      <c r="F340" s="6" t="s">
        <v>1363</v>
      </c>
      <c r="G340" s="6" t="s">
        <v>917</v>
      </c>
      <c r="H340" s="6" t="s">
        <v>916</v>
      </c>
    </row>
    <row r="341" customFormat="false" ht="23.85" hidden="false" customHeight="false" outlineLevel="0" collapsed="false">
      <c r="A341" s="7" t="s">
        <v>1025</v>
      </c>
      <c r="B341" s="7"/>
      <c r="C341" s="7" t="n">
        <v>2021</v>
      </c>
      <c r="D341" s="6" t="s">
        <v>1364</v>
      </c>
      <c r="E341" s="6" t="s">
        <v>210</v>
      </c>
      <c r="F341" s="6" t="s">
        <v>1365</v>
      </c>
      <c r="G341" s="6" t="s">
        <v>917</v>
      </c>
      <c r="H341" s="6" t="s">
        <v>916</v>
      </c>
    </row>
    <row r="342" customFormat="false" ht="23.85" hidden="false" customHeight="false" outlineLevel="0" collapsed="false">
      <c r="A342" s="7" t="s">
        <v>1025</v>
      </c>
      <c r="B342" s="7"/>
      <c r="C342" s="7" t="n">
        <v>2021</v>
      </c>
      <c r="D342" s="6" t="s">
        <v>1366</v>
      </c>
      <c r="E342" s="6" t="s">
        <v>259</v>
      </c>
      <c r="F342" s="6" t="s">
        <v>1367</v>
      </c>
      <c r="G342" s="6" t="s">
        <v>917</v>
      </c>
      <c r="H342" s="6" t="s">
        <v>916</v>
      </c>
    </row>
    <row r="343" customFormat="false" ht="23.85" hidden="false" customHeight="false" outlineLevel="0" collapsed="false">
      <c r="A343" s="7" t="s">
        <v>1025</v>
      </c>
      <c r="B343" s="7"/>
      <c r="C343" s="7" t="n">
        <v>2021</v>
      </c>
      <c r="D343" s="6" t="s">
        <v>1368</v>
      </c>
      <c r="E343" s="6" t="s">
        <v>259</v>
      </c>
      <c r="F343" s="6" t="s">
        <v>1369</v>
      </c>
      <c r="G343" s="6" t="s">
        <v>915</v>
      </c>
      <c r="H343" s="6" t="s">
        <v>916</v>
      </c>
    </row>
    <row r="344" customFormat="false" ht="23.85" hidden="false" customHeight="false" outlineLevel="0" collapsed="false">
      <c r="A344" s="7" t="s">
        <v>1025</v>
      </c>
      <c r="B344" s="7"/>
      <c r="C344" s="7" t="n">
        <v>2021</v>
      </c>
      <c r="D344" s="6" t="s">
        <v>1370</v>
      </c>
      <c r="E344" s="6" t="s">
        <v>198</v>
      </c>
      <c r="F344" s="6" t="s">
        <v>1371</v>
      </c>
      <c r="G344" s="6" t="s">
        <v>915</v>
      </c>
      <c r="H344" s="6" t="s">
        <v>916</v>
      </c>
    </row>
    <row r="345" customFormat="false" ht="23.85" hidden="false" customHeight="false" outlineLevel="0" collapsed="false">
      <c r="A345" s="7" t="s">
        <v>1025</v>
      </c>
      <c r="B345" s="7"/>
      <c r="C345" s="7" t="n">
        <v>2021</v>
      </c>
      <c r="D345" s="6" t="s">
        <v>1372</v>
      </c>
      <c r="E345" s="6" t="s">
        <v>250</v>
      </c>
      <c r="F345" s="6" t="s">
        <v>1373</v>
      </c>
      <c r="G345" s="6" t="s">
        <v>923</v>
      </c>
      <c r="H345" s="6" t="s">
        <v>916</v>
      </c>
    </row>
    <row r="346" customFormat="false" ht="15" hidden="false" customHeight="false" outlineLevel="0" collapsed="false">
      <c r="A346" s="7" t="s">
        <v>1025</v>
      </c>
      <c r="B346" s="7"/>
      <c r="C346" s="7" t="n">
        <v>2021</v>
      </c>
      <c r="D346" s="6" t="s">
        <v>1374</v>
      </c>
      <c r="E346" s="6" t="s">
        <v>1375</v>
      </c>
      <c r="F346" s="6" t="s">
        <v>1376</v>
      </c>
      <c r="G346" s="6" t="s">
        <v>923</v>
      </c>
      <c r="H346" s="6" t="s">
        <v>925</v>
      </c>
    </row>
    <row r="347" customFormat="false" ht="35.05" hidden="false" customHeight="false" outlineLevel="0" collapsed="false">
      <c r="A347" s="7" t="s">
        <v>1025</v>
      </c>
      <c r="B347" s="7"/>
      <c r="C347" s="7" t="n">
        <v>2021</v>
      </c>
      <c r="D347" s="6" t="s">
        <v>1377</v>
      </c>
      <c r="E347" s="6" t="s">
        <v>1378</v>
      </c>
      <c r="F347" s="6" t="s">
        <v>1379</v>
      </c>
      <c r="G347" s="6" t="s">
        <v>923</v>
      </c>
      <c r="H347" s="6" t="s">
        <v>925</v>
      </c>
    </row>
    <row r="348" customFormat="false" ht="25.35" hidden="false" customHeight="false" outlineLevel="0" collapsed="false">
      <c r="A348" s="7" t="s">
        <v>1025</v>
      </c>
      <c r="B348" s="7"/>
      <c r="C348" s="7" t="n">
        <v>2021</v>
      </c>
      <c r="D348" s="6" t="s">
        <v>1380</v>
      </c>
      <c r="E348" s="7" t="s">
        <v>1381</v>
      </c>
      <c r="F348" s="6" t="s">
        <v>1382</v>
      </c>
      <c r="G348" s="6" t="s">
        <v>919</v>
      </c>
      <c r="H348" s="6" t="s">
        <v>925</v>
      </c>
    </row>
    <row r="349" customFormat="false" ht="23.85" hidden="false" customHeight="false" outlineLevel="0" collapsed="false">
      <c r="A349" s="7" t="s">
        <v>1025</v>
      </c>
      <c r="B349" s="7"/>
      <c r="C349" s="7" t="n">
        <v>2022</v>
      </c>
      <c r="D349" s="6" t="s">
        <v>1383</v>
      </c>
      <c r="E349" s="6" t="s">
        <v>1384</v>
      </c>
      <c r="F349" s="6" t="s">
        <v>1385</v>
      </c>
      <c r="G349" s="6" t="s">
        <v>923</v>
      </c>
      <c r="H349" s="6" t="s">
        <v>916</v>
      </c>
    </row>
    <row r="350" customFormat="false" ht="23.85" hidden="false" customHeight="false" outlineLevel="0" collapsed="false">
      <c r="A350" s="7" t="s">
        <v>1025</v>
      </c>
      <c r="B350" s="7"/>
      <c r="C350" s="7" t="n">
        <v>2022</v>
      </c>
      <c r="D350" s="6" t="s">
        <v>1386</v>
      </c>
      <c r="E350" s="6" t="s">
        <v>1387</v>
      </c>
      <c r="F350" s="6" t="s">
        <v>1388</v>
      </c>
      <c r="G350" s="6" t="s">
        <v>1028</v>
      </c>
      <c r="H350" s="6" t="s">
        <v>916</v>
      </c>
    </row>
    <row r="351" customFormat="false" ht="23.85" hidden="false" customHeight="false" outlineLevel="0" collapsed="false">
      <c r="A351" s="7" t="s">
        <v>1025</v>
      </c>
      <c r="B351" s="7"/>
      <c r="C351" s="7" t="n">
        <v>2022</v>
      </c>
      <c r="D351" s="6" t="s">
        <v>1389</v>
      </c>
      <c r="E351" s="6" t="s">
        <v>307</v>
      </c>
      <c r="F351" s="6" t="s">
        <v>1390</v>
      </c>
      <c r="G351" s="6" t="s">
        <v>1028</v>
      </c>
      <c r="H351" s="6" t="s">
        <v>916</v>
      </c>
    </row>
    <row r="352" customFormat="false" ht="23.85" hidden="false" customHeight="false" outlineLevel="0" collapsed="false">
      <c r="A352" s="7" t="s">
        <v>1025</v>
      </c>
      <c r="B352" s="7"/>
      <c r="C352" s="7" t="n">
        <v>2022</v>
      </c>
      <c r="D352" s="6" t="s">
        <v>1391</v>
      </c>
      <c r="E352" s="6" t="s">
        <v>307</v>
      </c>
      <c r="F352" s="6" t="s">
        <v>1392</v>
      </c>
      <c r="G352" s="6" t="s">
        <v>919</v>
      </c>
      <c r="H352" s="6" t="s">
        <v>916</v>
      </c>
    </row>
    <row r="353" customFormat="false" ht="23.85" hidden="false" customHeight="false" outlineLevel="0" collapsed="false">
      <c r="A353" s="7" t="s">
        <v>1025</v>
      </c>
      <c r="B353" s="7"/>
      <c r="C353" s="7" t="n">
        <v>2022</v>
      </c>
      <c r="D353" s="6" t="s">
        <v>1393</v>
      </c>
      <c r="E353" s="6" t="s">
        <v>210</v>
      </c>
      <c r="F353" s="6" t="s">
        <v>1394</v>
      </c>
      <c r="G353" s="6" t="s">
        <v>915</v>
      </c>
      <c r="H353" s="6" t="s">
        <v>916</v>
      </c>
    </row>
    <row r="354" customFormat="false" ht="23.85" hidden="false" customHeight="false" outlineLevel="0" collapsed="false">
      <c r="A354" s="7" t="s">
        <v>1025</v>
      </c>
      <c r="B354" s="7"/>
      <c r="C354" s="7" t="n">
        <v>2022</v>
      </c>
      <c r="D354" s="6" t="s">
        <v>1395</v>
      </c>
      <c r="E354" s="6" t="s">
        <v>259</v>
      </c>
      <c r="F354" s="6" t="s">
        <v>1396</v>
      </c>
      <c r="G354" s="6" t="s">
        <v>917</v>
      </c>
      <c r="H354" s="6" t="s">
        <v>916</v>
      </c>
    </row>
    <row r="355" customFormat="false" ht="23.85" hidden="false" customHeight="false" outlineLevel="0" collapsed="false">
      <c r="A355" s="7" t="s">
        <v>1025</v>
      </c>
      <c r="B355" s="7"/>
      <c r="C355" s="7" t="n">
        <v>2022</v>
      </c>
      <c r="D355" s="6" t="s">
        <v>1397</v>
      </c>
      <c r="E355" s="6" t="s">
        <v>1398</v>
      </c>
      <c r="F355" s="6" t="s">
        <v>1399</v>
      </c>
      <c r="G355" s="6" t="s">
        <v>919</v>
      </c>
      <c r="H355" s="6" t="s">
        <v>916</v>
      </c>
    </row>
    <row r="356" customFormat="false" ht="15" hidden="false" customHeight="false" outlineLevel="0" collapsed="false">
      <c r="A356" s="7" t="s">
        <v>1025</v>
      </c>
      <c r="B356" s="7"/>
      <c r="C356" s="7" t="n">
        <v>2022</v>
      </c>
      <c r="D356" s="6" t="s">
        <v>1400</v>
      </c>
      <c r="E356" s="6" t="s">
        <v>594</v>
      </c>
      <c r="F356" s="6" t="s">
        <v>1401</v>
      </c>
      <c r="G356" s="6" t="s">
        <v>919</v>
      </c>
      <c r="H356" s="6" t="s">
        <v>916</v>
      </c>
    </row>
    <row r="357" customFormat="false" ht="23.85" hidden="false" customHeight="false" outlineLevel="0" collapsed="false">
      <c r="A357" s="7" t="s">
        <v>1025</v>
      </c>
      <c r="B357" s="7"/>
      <c r="C357" s="7" t="n">
        <v>2022</v>
      </c>
      <c r="D357" s="6" t="s">
        <v>1402</v>
      </c>
      <c r="E357" s="6" t="s">
        <v>330</v>
      </c>
      <c r="F357" s="6" t="s">
        <v>1403</v>
      </c>
      <c r="G357" s="6" t="s">
        <v>927</v>
      </c>
      <c r="H357" s="6" t="s">
        <v>916</v>
      </c>
    </row>
    <row r="358" customFormat="false" ht="23.85" hidden="false" customHeight="false" outlineLevel="0" collapsed="false">
      <c r="A358" s="7" t="s">
        <v>1025</v>
      </c>
      <c r="B358" s="7"/>
      <c r="C358" s="7" t="n">
        <v>2022</v>
      </c>
      <c r="D358" s="6" t="s">
        <v>1404</v>
      </c>
      <c r="E358" s="6" t="s">
        <v>1405</v>
      </c>
      <c r="F358" s="6" t="s">
        <v>1406</v>
      </c>
      <c r="G358" s="6" t="s">
        <v>923</v>
      </c>
      <c r="H358" s="6" t="s">
        <v>925</v>
      </c>
    </row>
    <row r="359" customFormat="false" ht="15" hidden="false" customHeight="false" outlineLevel="0" collapsed="false">
      <c r="A359" s="7" t="s">
        <v>1025</v>
      </c>
      <c r="B359" s="7"/>
      <c r="C359" s="7" t="n">
        <v>2022</v>
      </c>
      <c r="D359" s="6" t="s">
        <v>1407</v>
      </c>
      <c r="E359" s="6" t="s">
        <v>1034</v>
      </c>
      <c r="F359" s="6" t="s">
        <v>1408</v>
      </c>
      <c r="G359" s="6" t="s">
        <v>918</v>
      </c>
      <c r="H359" s="6" t="s">
        <v>916</v>
      </c>
    </row>
    <row r="360" customFormat="false" ht="15" hidden="false" customHeight="false" outlineLevel="0" collapsed="false">
      <c r="A360" s="7" t="s">
        <v>1025</v>
      </c>
      <c r="B360" s="7"/>
      <c r="C360" s="7" t="n">
        <v>2022</v>
      </c>
      <c r="D360" s="6" t="s">
        <v>1409</v>
      </c>
      <c r="E360" s="6" t="s">
        <v>1410</v>
      </c>
      <c r="F360" s="6" t="s">
        <v>1411</v>
      </c>
      <c r="G360" s="6" t="s">
        <v>919</v>
      </c>
      <c r="H360" s="6" t="s">
        <v>916</v>
      </c>
    </row>
    <row r="361" customFormat="false" ht="15" hidden="false" customHeight="false" outlineLevel="0" collapsed="false">
      <c r="A361" s="7" t="s">
        <v>1025</v>
      </c>
      <c r="B361" s="7"/>
      <c r="C361" s="7" t="n">
        <v>2022</v>
      </c>
      <c r="D361" s="6" t="s">
        <v>1412</v>
      </c>
      <c r="E361" s="6" t="s">
        <v>1413</v>
      </c>
      <c r="F361" s="6" t="s">
        <v>1414</v>
      </c>
      <c r="G361" s="6" t="s">
        <v>917</v>
      </c>
      <c r="H361" s="6" t="s">
        <v>916</v>
      </c>
    </row>
    <row r="362" customFormat="false" ht="15" hidden="false" customHeight="false" outlineLevel="0" collapsed="false">
      <c r="A362" s="7" t="s">
        <v>1025</v>
      </c>
      <c r="B362" s="7"/>
      <c r="C362" s="7" t="n">
        <v>2022</v>
      </c>
      <c r="D362" s="6" t="s">
        <v>1415</v>
      </c>
      <c r="E362" s="6" t="s">
        <v>1084</v>
      </c>
      <c r="F362" s="6" t="s">
        <v>1416</v>
      </c>
      <c r="G362" s="6" t="s">
        <v>917</v>
      </c>
      <c r="H362" s="6" t="s">
        <v>916</v>
      </c>
    </row>
    <row r="363" customFormat="false" ht="23.85" hidden="false" customHeight="false" outlineLevel="0" collapsed="false">
      <c r="A363" s="7" t="s">
        <v>1025</v>
      </c>
      <c r="B363" s="7"/>
      <c r="C363" s="7" t="n">
        <v>2022</v>
      </c>
      <c r="D363" s="6" t="s">
        <v>1417</v>
      </c>
      <c r="E363" s="6" t="s">
        <v>219</v>
      </c>
      <c r="F363" s="6" t="s">
        <v>1418</v>
      </c>
      <c r="G363" s="6" t="s">
        <v>919</v>
      </c>
      <c r="H363" s="6" t="s">
        <v>916</v>
      </c>
    </row>
    <row r="364" customFormat="false" ht="23.85" hidden="false" customHeight="false" outlineLevel="0" collapsed="false">
      <c r="A364" s="7" t="s">
        <v>1025</v>
      </c>
      <c r="B364" s="7"/>
      <c r="C364" s="7" t="n">
        <v>2022</v>
      </c>
      <c r="D364" s="6" t="s">
        <v>1419</v>
      </c>
      <c r="E364" s="6" t="s">
        <v>219</v>
      </c>
      <c r="F364" s="6" t="s">
        <v>1420</v>
      </c>
      <c r="G364" s="6" t="s">
        <v>923</v>
      </c>
      <c r="H364" s="6" t="s">
        <v>925</v>
      </c>
    </row>
    <row r="365" customFormat="false" ht="23.85" hidden="false" customHeight="false" outlineLevel="0" collapsed="false">
      <c r="A365" s="7" t="s">
        <v>1025</v>
      </c>
      <c r="B365" s="7"/>
      <c r="C365" s="7" t="n">
        <v>2022</v>
      </c>
      <c r="D365" s="6" t="s">
        <v>1421</v>
      </c>
      <c r="E365" s="6" t="s">
        <v>1422</v>
      </c>
      <c r="F365" s="6" t="s">
        <v>1423</v>
      </c>
      <c r="G365" s="6" t="s">
        <v>923</v>
      </c>
      <c r="H365" s="6" t="s">
        <v>925</v>
      </c>
    </row>
    <row r="366" customFormat="false" ht="23.85" hidden="false" customHeight="false" outlineLevel="0" collapsed="false">
      <c r="A366" s="7" t="s">
        <v>1025</v>
      </c>
      <c r="B366" s="7"/>
      <c r="C366" s="7" t="n">
        <v>2022</v>
      </c>
      <c r="D366" s="6" t="s">
        <v>1424</v>
      </c>
      <c r="E366" s="6" t="s">
        <v>375</v>
      </c>
      <c r="F366" s="6" t="s">
        <v>1425</v>
      </c>
      <c r="G366" s="6" t="s">
        <v>917</v>
      </c>
      <c r="H366" s="6" t="s">
        <v>916</v>
      </c>
    </row>
    <row r="367" customFormat="false" ht="23.85" hidden="false" customHeight="false" outlineLevel="0" collapsed="false">
      <c r="A367" s="7" t="s">
        <v>1025</v>
      </c>
      <c r="B367" s="7"/>
      <c r="C367" s="7" t="n">
        <v>2022</v>
      </c>
      <c r="D367" s="6" t="s">
        <v>1426</v>
      </c>
      <c r="E367" s="6" t="s">
        <v>210</v>
      </c>
      <c r="F367" s="6" t="s">
        <v>1427</v>
      </c>
      <c r="G367" s="6" t="s">
        <v>917</v>
      </c>
      <c r="H367" s="6" t="s">
        <v>916</v>
      </c>
    </row>
    <row r="368" customFormat="false" ht="23.85" hidden="false" customHeight="false" outlineLevel="0" collapsed="false">
      <c r="A368" s="7" t="s">
        <v>1025</v>
      </c>
      <c r="B368" s="7"/>
      <c r="C368" s="7" t="n">
        <v>2022</v>
      </c>
      <c r="D368" s="6" t="s">
        <v>1428</v>
      </c>
      <c r="E368" s="6" t="s">
        <v>259</v>
      </c>
      <c r="F368" s="6" t="s">
        <v>1429</v>
      </c>
      <c r="G368" s="6" t="s">
        <v>917</v>
      </c>
      <c r="H368" s="6" t="s">
        <v>916</v>
      </c>
    </row>
    <row r="369" customFormat="false" ht="15" hidden="false" customHeight="false" outlineLevel="0" collapsed="false">
      <c r="A369" s="7" t="s">
        <v>1025</v>
      </c>
      <c r="B369" s="7"/>
      <c r="C369" s="7" t="n">
        <v>2022</v>
      </c>
      <c r="D369" s="6" t="s">
        <v>1430</v>
      </c>
      <c r="E369" s="6" t="s">
        <v>162</v>
      </c>
      <c r="F369" s="6" t="s">
        <v>1431</v>
      </c>
      <c r="G369" s="6" t="s">
        <v>923</v>
      </c>
      <c r="H369" s="6" t="s">
        <v>916</v>
      </c>
    </row>
    <row r="370" customFormat="false" ht="15" hidden="false" customHeight="false" outlineLevel="0" collapsed="false">
      <c r="A370" s="7" t="s">
        <v>1025</v>
      </c>
      <c r="B370" s="7"/>
      <c r="C370" s="7" t="n">
        <v>2022</v>
      </c>
      <c r="D370" s="6" t="s">
        <v>1432</v>
      </c>
      <c r="E370" s="6" t="s">
        <v>162</v>
      </c>
      <c r="F370" s="6" t="s">
        <v>1433</v>
      </c>
      <c r="G370" s="6" t="s">
        <v>917</v>
      </c>
      <c r="H370" s="6" t="s">
        <v>925</v>
      </c>
    </row>
    <row r="371" customFormat="false" ht="23.85" hidden="false" customHeight="false" outlineLevel="0" collapsed="false">
      <c r="A371" s="7" t="s">
        <v>1025</v>
      </c>
      <c r="B371" s="7"/>
      <c r="C371" s="7" t="n">
        <v>2022</v>
      </c>
      <c r="D371" s="6" t="s">
        <v>1434</v>
      </c>
      <c r="E371" s="6" t="s">
        <v>245</v>
      </c>
      <c r="F371" s="6" t="s">
        <v>1435</v>
      </c>
      <c r="G371" s="6" t="s">
        <v>917</v>
      </c>
      <c r="H371" s="6" t="s">
        <v>925</v>
      </c>
    </row>
    <row r="372" customFormat="false" ht="23.85" hidden="false" customHeight="false" outlineLevel="0" collapsed="false">
      <c r="A372" s="7" t="s">
        <v>1025</v>
      </c>
      <c r="B372" s="7"/>
      <c r="C372" s="7" t="n">
        <v>2022</v>
      </c>
      <c r="D372" s="6" t="s">
        <v>1436</v>
      </c>
      <c r="E372" s="6" t="s">
        <v>1437</v>
      </c>
      <c r="F372" s="6" t="s">
        <v>1438</v>
      </c>
      <c r="G372" s="6" t="s">
        <v>923</v>
      </c>
      <c r="H372" s="6" t="s">
        <v>916</v>
      </c>
    </row>
    <row r="373" customFormat="false" ht="23.85" hidden="false" customHeight="false" outlineLevel="0" collapsed="false">
      <c r="A373" s="7" t="s">
        <v>1025</v>
      </c>
      <c r="B373" s="7"/>
      <c r="C373" s="7" t="n">
        <v>2022</v>
      </c>
      <c r="D373" s="6" t="s">
        <v>1439</v>
      </c>
      <c r="E373" s="6" t="s">
        <v>1440</v>
      </c>
      <c r="F373" s="6" t="s">
        <v>1441</v>
      </c>
      <c r="G373" s="6" t="s">
        <v>923</v>
      </c>
      <c r="H373" s="6" t="s">
        <v>916</v>
      </c>
    </row>
    <row r="374" customFormat="false" ht="23.85" hidden="false" customHeight="false" outlineLevel="0" collapsed="false">
      <c r="A374" s="7" t="s">
        <v>1025</v>
      </c>
      <c r="B374" s="7"/>
      <c r="C374" s="7" t="n">
        <v>2022</v>
      </c>
      <c r="D374" s="6" t="s">
        <v>1442</v>
      </c>
      <c r="E374" s="6" t="s">
        <v>149</v>
      </c>
      <c r="F374" s="6" t="s">
        <v>1443</v>
      </c>
      <c r="G374" s="6" t="s">
        <v>923</v>
      </c>
      <c r="H374" s="6" t="s">
        <v>925</v>
      </c>
    </row>
    <row r="375" customFormat="false" ht="15" hidden="false" customHeight="false" outlineLevel="0" collapsed="false">
      <c r="A375" s="7" t="s">
        <v>1025</v>
      </c>
      <c r="B375" s="7"/>
      <c r="C375" s="7" t="n">
        <v>2022</v>
      </c>
      <c r="D375" s="6" t="s">
        <v>1444</v>
      </c>
      <c r="E375" s="6" t="s">
        <v>1445</v>
      </c>
      <c r="F375" s="6" t="s">
        <v>1446</v>
      </c>
      <c r="G375" s="6" t="s">
        <v>919</v>
      </c>
      <c r="H375" s="6" t="s">
        <v>925</v>
      </c>
    </row>
    <row r="376" customFormat="false" ht="23.85" hidden="false" customHeight="false" outlineLevel="0" collapsed="false">
      <c r="A376" s="7" t="s">
        <v>1025</v>
      </c>
      <c r="B376" s="7"/>
      <c r="C376" s="7" t="n">
        <v>2022</v>
      </c>
      <c r="D376" s="6" t="s">
        <v>1447</v>
      </c>
      <c r="E376" s="7" t="s">
        <v>1448</v>
      </c>
      <c r="F376" s="6" t="s">
        <v>1449</v>
      </c>
      <c r="G376" s="6" t="s">
        <v>923</v>
      </c>
      <c r="H376" s="6" t="s">
        <v>916</v>
      </c>
    </row>
    <row r="377" customFormat="false" ht="15" hidden="false" customHeight="false" outlineLevel="0" collapsed="false">
      <c r="A377" s="7" t="s">
        <v>1025</v>
      </c>
      <c r="B377" s="7"/>
      <c r="C377" s="7" t="n">
        <v>2023</v>
      </c>
      <c r="D377" s="6" t="s">
        <v>1450</v>
      </c>
      <c r="E377" s="6" t="s">
        <v>198</v>
      </c>
      <c r="F377" s="6" t="s">
        <v>1451</v>
      </c>
      <c r="G377" s="6" t="s">
        <v>917</v>
      </c>
      <c r="H377" s="6" t="s">
        <v>916</v>
      </c>
    </row>
    <row r="378" customFormat="false" ht="15" hidden="false" customHeight="false" outlineLevel="0" collapsed="false">
      <c r="A378" s="7" t="s">
        <v>1025</v>
      </c>
      <c r="B378" s="7"/>
      <c r="C378" s="7" t="n">
        <v>2023</v>
      </c>
      <c r="D378" s="6" t="s">
        <v>1452</v>
      </c>
      <c r="E378" s="6" t="s">
        <v>162</v>
      </c>
      <c r="F378" s="6" t="s">
        <v>1453</v>
      </c>
      <c r="G378" s="6" t="s">
        <v>1028</v>
      </c>
      <c r="H378" s="6" t="s">
        <v>916</v>
      </c>
    </row>
    <row r="379" customFormat="false" ht="23.85" hidden="false" customHeight="false" outlineLevel="0" collapsed="false">
      <c r="A379" s="7" t="s">
        <v>1025</v>
      </c>
      <c r="B379" s="7"/>
      <c r="C379" s="7" t="n">
        <v>2023</v>
      </c>
      <c r="D379" s="6" t="s">
        <v>1454</v>
      </c>
      <c r="E379" s="6" t="s">
        <v>397</v>
      </c>
      <c r="F379" s="6" t="s">
        <v>1455</v>
      </c>
      <c r="G379" s="6" t="s">
        <v>919</v>
      </c>
      <c r="H379" s="6" t="s">
        <v>916</v>
      </c>
    </row>
    <row r="380" customFormat="false" ht="23.85" hidden="false" customHeight="false" outlineLevel="0" collapsed="false">
      <c r="A380" s="7" t="s">
        <v>1025</v>
      </c>
      <c r="B380" s="7"/>
      <c r="C380" s="7" t="n">
        <v>2023</v>
      </c>
      <c r="D380" s="6" t="s">
        <v>1456</v>
      </c>
      <c r="E380" s="6" t="s">
        <v>1457</v>
      </c>
      <c r="F380" s="6" t="s">
        <v>1458</v>
      </c>
      <c r="G380" s="6" t="s">
        <v>919</v>
      </c>
      <c r="H380" s="6" t="s">
        <v>925</v>
      </c>
    </row>
    <row r="381" customFormat="false" ht="23.85" hidden="false" customHeight="false" outlineLevel="0" collapsed="false">
      <c r="A381" s="7" t="s">
        <v>1025</v>
      </c>
      <c r="B381" s="7"/>
      <c r="C381" s="7" t="n">
        <v>2023</v>
      </c>
      <c r="D381" s="6" t="s">
        <v>1459</v>
      </c>
      <c r="E381" s="6" t="s">
        <v>952</v>
      </c>
      <c r="F381" s="6" t="s">
        <v>1460</v>
      </c>
      <c r="G381" s="6" t="s">
        <v>919</v>
      </c>
      <c r="H381" s="6" t="s">
        <v>916</v>
      </c>
    </row>
    <row r="382" customFormat="false" ht="23.85" hidden="false" customHeight="false" outlineLevel="0" collapsed="false">
      <c r="A382" s="7" t="s">
        <v>1025</v>
      </c>
      <c r="B382" s="7"/>
      <c r="C382" s="7" t="n">
        <v>2023</v>
      </c>
      <c r="D382" s="6" t="s">
        <v>1461</v>
      </c>
      <c r="E382" s="6" t="s">
        <v>375</v>
      </c>
      <c r="F382" s="6" t="s">
        <v>1462</v>
      </c>
      <c r="G382" s="6" t="s">
        <v>923</v>
      </c>
      <c r="H382" s="6" t="s">
        <v>925</v>
      </c>
    </row>
    <row r="383" customFormat="false" ht="15" hidden="false" customHeight="false" outlineLevel="0" collapsed="false">
      <c r="A383" s="7" t="s">
        <v>1025</v>
      </c>
      <c r="B383" s="7"/>
      <c r="C383" s="7" t="n">
        <v>2023</v>
      </c>
      <c r="D383" s="6" t="s">
        <v>1463</v>
      </c>
      <c r="E383" s="6" t="s">
        <v>1464</v>
      </c>
      <c r="F383" s="6" t="s">
        <v>1465</v>
      </c>
      <c r="G383" s="6" t="s">
        <v>917</v>
      </c>
      <c r="H383" s="6" t="s">
        <v>925</v>
      </c>
    </row>
    <row r="384" customFormat="false" ht="15" hidden="false" customHeight="false" outlineLevel="0" collapsed="false">
      <c r="A384" s="7" t="s">
        <v>1025</v>
      </c>
      <c r="B384" s="7"/>
      <c r="C384" s="7" t="n">
        <v>2023</v>
      </c>
      <c r="D384" s="6" t="s">
        <v>1466</v>
      </c>
      <c r="E384" s="6" t="s">
        <v>162</v>
      </c>
      <c r="F384" s="6" t="s">
        <v>1467</v>
      </c>
      <c r="G384" s="6" t="s">
        <v>917</v>
      </c>
      <c r="H384" s="6" t="s">
        <v>916</v>
      </c>
    </row>
    <row r="385" customFormat="false" ht="15" hidden="false" customHeight="false" outlineLevel="0" collapsed="false">
      <c r="A385" s="7" t="s">
        <v>1025</v>
      </c>
      <c r="B385" s="7"/>
      <c r="C385" s="7" t="n">
        <v>2023</v>
      </c>
      <c r="D385" s="6" t="s">
        <v>1468</v>
      </c>
      <c r="E385" s="6" t="s">
        <v>162</v>
      </c>
      <c r="F385" s="6" t="s">
        <v>1469</v>
      </c>
      <c r="G385" s="6" t="s">
        <v>920</v>
      </c>
      <c r="H385" s="6" t="s">
        <v>916</v>
      </c>
    </row>
    <row r="386" customFormat="false" ht="23.85" hidden="false" customHeight="false" outlineLevel="0" collapsed="false">
      <c r="A386" s="7" t="s">
        <v>1025</v>
      </c>
      <c r="B386" s="7"/>
      <c r="C386" s="7" t="n">
        <v>2024</v>
      </c>
      <c r="D386" s="6" t="s">
        <v>1470</v>
      </c>
      <c r="E386" s="6" t="s">
        <v>219</v>
      </c>
      <c r="F386" s="6" t="s">
        <v>1471</v>
      </c>
      <c r="G386" s="6" t="s">
        <v>917</v>
      </c>
      <c r="H386" s="6" t="s">
        <v>916</v>
      </c>
    </row>
    <row r="387" customFormat="false" ht="23.85" hidden="false" customHeight="false" outlineLevel="0" collapsed="false">
      <c r="A387" s="7" t="s">
        <v>1025</v>
      </c>
      <c r="B387" s="7"/>
      <c r="C387" s="7" t="n">
        <v>2024</v>
      </c>
      <c r="D387" s="6" t="s">
        <v>1472</v>
      </c>
      <c r="E387" s="6" t="s">
        <v>219</v>
      </c>
      <c r="F387" s="6" t="s">
        <v>1473</v>
      </c>
      <c r="G387" s="6" t="s">
        <v>917</v>
      </c>
      <c r="H387" s="6" t="s">
        <v>916</v>
      </c>
    </row>
    <row r="388" customFormat="false" ht="23.85" hidden="false" customHeight="false" outlineLevel="0" collapsed="false">
      <c r="A388" s="7" t="s">
        <v>1025</v>
      </c>
      <c r="B388" s="7"/>
      <c r="C388" s="7" t="n">
        <v>2024</v>
      </c>
      <c r="D388" s="6" t="s">
        <v>1474</v>
      </c>
      <c r="E388" s="6" t="s">
        <v>219</v>
      </c>
      <c r="F388" s="6" t="s">
        <v>1475</v>
      </c>
      <c r="G388" s="6" t="s">
        <v>917</v>
      </c>
      <c r="H388" s="6" t="s">
        <v>916</v>
      </c>
    </row>
    <row r="389" customFormat="false" ht="15" hidden="false" customHeight="false" outlineLevel="0" collapsed="false">
      <c r="A389" s="7" t="s">
        <v>1025</v>
      </c>
      <c r="B389" s="7"/>
      <c r="C389" s="7" t="n">
        <v>2024</v>
      </c>
      <c r="D389" s="6" t="s">
        <v>1476</v>
      </c>
      <c r="E389" s="6" t="s">
        <v>296</v>
      </c>
      <c r="F389" s="6" t="s">
        <v>1477</v>
      </c>
      <c r="G389" s="6" t="s">
        <v>1028</v>
      </c>
      <c r="H389" s="6" t="s">
        <v>916</v>
      </c>
    </row>
    <row r="390" customFormat="false" ht="23.85" hidden="false" customHeight="false" outlineLevel="0" collapsed="false">
      <c r="A390" s="7" t="s">
        <v>1025</v>
      </c>
      <c r="B390" s="7"/>
      <c r="C390" s="7" t="n">
        <v>2024</v>
      </c>
      <c r="D390" s="6" t="s">
        <v>1478</v>
      </c>
      <c r="E390" s="6" t="s">
        <v>1479</v>
      </c>
      <c r="F390" s="6" t="s">
        <v>1480</v>
      </c>
      <c r="G390" s="6" t="s">
        <v>919</v>
      </c>
      <c r="H390" s="6" t="s">
        <v>916</v>
      </c>
    </row>
    <row r="391" customFormat="false" ht="23.85" hidden="false" customHeight="false" outlineLevel="0" collapsed="false">
      <c r="A391" s="7" t="s">
        <v>1025</v>
      </c>
      <c r="B391" s="7"/>
      <c r="C391" s="7" t="n">
        <v>2024</v>
      </c>
      <c r="D391" s="6" t="s">
        <v>1481</v>
      </c>
      <c r="E391" s="6" t="s">
        <v>250</v>
      </c>
      <c r="F391" s="6" t="s">
        <v>1482</v>
      </c>
      <c r="G391" s="6" t="s">
        <v>917</v>
      </c>
      <c r="H391" s="6" t="s">
        <v>925</v>
      </c>
    </row>
    <row r="392" customFormat="false" ht="15" hidden="false" customHeight="false" outlineLevel="0" collapsed="false">
      <c r="A392" s="7" t="s">
        <v>1025</v>
      </c>
      <c r="B392" s="7"/>
      <c r="C392" s="7" t="n">
        <v>2024</v>
      </c>
      <c r="D392" s="6" t="s">
        <v>1483</v>
      </c>
      <c r="E392" s="6" t="s">
        <v>229</v>
      </c>
      <c r="F392" s="6" t="s">
        <v>1484</v>
      </c>
      <c r="G392" s="6" t="s">
        <v>923</v>
      </c>
      <c r="H392" s="6" t="s">
        <v>916</v>
      </c>
    </row>
    <row r="393" customFormat="false" ht="15" hidden="false" customHeight="false" outlineLevel="0" collapsed="false">
      <c r="A393" s="7" t="s">
        <v>1025</v>
      </c>
      <c r="B393" s="7"/>
      <c r="C393" s="7" t="n">
        <v>2024</v>
      </c>
      <c r="D393" s="6" t="s">
        <v>1485</v>
      </c>
      <c r="E393" s="6" t="s">
        <v>162</v>
      </c>
      <c r="F393" s="6" t="s">
        <v>1486</v>
      </c>
      <c r="G393" s="6" t="s">
        <v>918</v>
      </c>
      <c r="H393" s="6" t="s">
        <v>916</v>
      </c>
    </row>
    <row r="394" customFormat="false" ht="23.85" hidden="false" customHeight="false" outlineLevel="0" collapsed="false">
      <c r="A394" s="7" t="s">
        <v>1025</v>
      </c>
      <c r="B394" s="7"/>
      <c r="C394" s="7" t="n">
        <v>2024</v>
      </c>
      <c r="D394" s="6" t="s">
        <v>1487</v>
      </c>
      <c r="E394" s="6" t="s">
        <v>1488</v>
      </c>
      <c r="F394" s="6" t="s">
        <v>1489</v>
      </c>
      <c r="G394" s="6" t="s">
        <v>918</v>
      </c>
      <c r="H394" s="6" t="s">
        <v>916</v>
      </c>
    </row>
    <row r="395" customFormat="false" ht="23.85" hidden="false" customHeight="false" outlineLevel="0" collapsed="false">
      <c r="A395" s="7" t="s">
        <v>1025</v>
      </c>
      <c r="B395" s="7"/>
      <c r="C395" s="7" t="n">
        <v>2024</v>
      </c>
      <c r="D395" s="6" t="s">
        <v>1490</v>
      </c>
      <c r="E395" s="6" t="s">
        <v>219</v>
      </c>
      <c r="F395" s="6" t="s">
        <v>1491</v>
      </c>
      <c r="G395" s="6" t="s">
        <v>917</v>
      </c>
      <c r="H395" s="6" t="s">
        <v>916</v>
      </c>
    </row>
    <row r="396" customFormat="false" ht="23.85" hidden="false" customHeight="false" outlineLevel="0" collapsed="false">
      <c r="A396" s="7" t="s">
        <v>1025</v>
      </c>
      <c r="B396" s="7"/>
      <c r="C396" s="7" t="n">
        <v>2024</v>
      </c>
      <c r="D396" s="6" t="s">
        <v>1492</v>
      </c>
      <c r="E396" s="6" t="s">
        <v>219</v>
      </c>
      <c r="F396" s="6" t="s">
        <v>1493</v>
      </c>
      <c r="G396" s="6" t="s">
        <v>923</v>
      </c>
      <c r="H396" s="6" t="s">
        <v>916</v>
      </c>
    </row>
    <row r="397" customFormat="false" ht="23.85" hidden="false" customHeight="false" outlineLevel="0" collapsed="false">
      <c r="A397" s="7" t="s">
        <v>1025</v>
      </c>
      <c r="B397" s="7"/>
      <c r="C397" s="7" t="n">
        <v>2024</v>
      </c>
      <c r="D397" s="6" t="s">
        <v>1494</v>
      </c>
      <c r="E397" s="6" t="s">
        <v>125</v>
      </c>
      <c r="F397" s="6" t="s">
        <v>1495</v>
      </c>
      <c r="G397" s="6" t="s">
        <v>923</v>
      </c>
      <c r="H397" s="6" t="s">
        <v>916</v>
      </c>
    </row>
    <row r="398" customFormat="false" ht="23.85" hidden="false" customHeight="false" outlineLevel="0" collapsed="false">
      <c r="A398" s="7" t="s">
        <v>1025</v>
      </c>
      <c r="B398" s="7"/>
      <c r="C398" s="7" t="n">
        <v>2024</v>
      </c>
      <c r="D398" s="6" t="s">
        <v>1496</v>
      </c>
      <c r="E398" s="6" t="s">
        <v>1497</v>
      </c>
      <c r="F398" s="6" t="s">
        <v>1498</v>
      </c>
      <c r="G398" s="6" t="s">
        <v>923</v>
      </c>
      <c r="H398" s="6" t="s">
        <v>925</v>
      </c>
    </row>
    <row r="399" customFormat="false" ht="25.35" hidden="false" customHeight="false" outlineLevel="0" collapsed="false">
      <c r="A399" s="7" t="s">
        <v>1025</v>
      </c>
      <c r="B399" s="7"/>
      <c r="C399" s="7" t="n">
        <v>2024</v>
      </c>
      <c r="D399" s="6" t="s">
        <v>1499</v>
      </c>
      <c r="E399" s="7" t="s">
        <v>1381</v>
      </c>
      <c r="F399" s="6" t="s">
        <v>1500</v>
      </c>
      <c r="G399" s="6" t="s">
        <v>923</v>
      </c>
      <c r="H399" s="6" t="s">
        <v>925</v>
      </c>
    </row>
    <row r="400" customFormat="false" ht="23.85" hidden="false" customHeight="false" outlineLevel="0" collapsed="false">
      <c r="A400" s="7" t="s">
        <v>1025</v>
      </c>
      <c r="B400" s="7"/>
      <c r="C400" s="7" t="n">
        <v>2024</v>
      </c>
      <c r="D400" s="6" t="s">
        <v>1501</v>
      </c>
      <c r="E400" s="7" t="s">
        <v>141</v>
      </c>
      <c r="F400" s="6" t="s">
        <v>1502</v>
      </c>
      <c r="G400" s="6" t="s">
        <v>923</v>
      </c>
      <c r="H400" s="6" t="s">
        <v>925</v>
      </c>
    </row>
    <row r="401" customFormat="false" ht="23.85" hidden="false" customHeight="false" outlineLevel="0" collapsed="false">
      <c r="A401" s="7" t="s">
        <v>1025</v>
      </c>
      <c r="B401" s="7"/>
      <c r="C401" s="7" t="n">
        <v>2025</v>
      </c>
      <c r="D401" s="6" t="s">
        <v>1503</v>
      </c>
      <c r="E401" s="6" t="s">
        <v>1504</v>
      </c>
      <c r="F401" s="6" t="s">
        <v>1505</v>
      </c>
      <c r="G401" s="6" t="s">
        <v>919</v>
      </c>
      <c r="H401" s="6" t="s">
        <v>916</v>
      </c>
    </row>
    <row r="402" customFormat="false" ht="23.85" hidden="false" customHeight="false" outlineLevel="0" collapsed="false">
      <c r="A402" s="7" t="s">
        <v>1025</v>
      </c>
      <c r="B402" s="7"/>
      <c r="C402" s="7" t="n">
        <v>2025</v>
      </c>
      <c r="D402" s="6" t="s">
        <v>1506</v>
      </c>
      <c r="E402" s="6" t="s">
        <v>219</v>
      </c>
      <c r="F402" s="6" t="s">
        <v>1507</v>
      </c>
      <c r="G402" s="6" t="s">
        <v>919</v>
      </c>
      <c r="H402" s="6" t="s">
        <v>916</v>
      </c>
    </row>
    <row r="403" customFormat="false" ht="23.85" hidden="false" customHeight="false" outlineLevel="0" collapsed="false">
      <c r="A403" s="7" t="s">
        <v>1025</v>
      </c>
      <c r="B403" s="7"/>
      <c r="C403" s="7" t="n">
        <v>2025</v>
      </c>
      <c r="D403" s="6" t="s">
        <v>1508</v>
      </c>
      <c r="E403" s="6" t="s">
        <v>219</v>
      </c>
      <c r="F403" s="6" t="s">
        <v>1509</v>
      </c>
      <c r="G403" s="6" t="s">
        <v>919</v>
      </c>
      <c r="H403" s="6" t="s">
        <v>916</v>
      </c>
    </row>
    <row r="404" customFormat="false" ht="23.85" hidden="false" customHeight="false" outlineLevel="0" collapsed="false">
      <c r="A404" s="7" t="s">
        <v>1025</v>
      </c>
      <c r="B404" s="7"/>
      <c r="C404" s="7" t="n">
        <v>2025</v>
      </c>
      <c r="D404" s="6" t="s">
        <v>1510</v>
      </c>
      <c r="E404" s="6" t="s">
        <v>1511</v>
      </c>
      <c r="F404" s="6" t="s">
        <v>1512</v>
      </c>
      <c r="G404" s="6" t="s">
        <v>1028</v>
      </c>
      <c r="H404" s="6" t="s">
        <v>916</v>
      </c>
    </row>
    <row r="405" customFormat="false" ht="23.85" hidden="false" customHeight="false" outlineLevel="0" collapsed="false">
      <c r="A405" s="7" t="s">
        <v>1025</v>
      </c>
      <c r="B405" s="7"/>
      <c r="C405" s="7" t="n">
        <v>2025</v>
      </c>
      <c r="D405" s="6" t="s">
        <v>1513</v>
      </c>
      <c r="E405" s="6" t="s">
        <v>162</v>
      </c>
      <c r="F405" s="6" t="s">
        <v>1514</v>
      </c>
      <c r="G405" s="6" t="s">
        <v>919</v>
      </c>
      <c r="H405" s="6" t="s">
        <v>916</v>
      </c>
    </row>
    <row r="406" customFormat="false" ht="23.85" hidden="false" customHeight="false" outlineLevel="0" collapsed="false">
      <c r="A406" s="7" t="s">
        <v>1025</v>
      </c>
      <c r="B406" s="7"/>
      <c r="C406" s="7" t="n">
        <v>2025</v>
      </c>
      <c r="D406" s="6" t="s">
        <v>1515</v>
      </c>
      <c r="E406" s="6" t="s">
        <v>250</v>
      </c>
      <c r="F406" s="6" t="s">
        <v>1516</v>
      </c>
      <c r="G406" s="6" t="s">
        <v>923</v>
      </c>
      <c r="H406" s="6" t="s">
        <v>916</v>
      </c>
    </row>
    <row r="407" customFormat="false" ht="23.85" hidden="false" customHeight="false" outlineLevel="0" collapsed="false">
      <c r="A407" s="7" t="s">
        <v>1025</v>
      </c>
      <c r="B407" s="7"/>
      <c r="C407" s="7" t="n">
        <v>2025</v>
      </c>
      <c r="D407" s="6" t="s">
        <v>1517</v>
      </c>
      <c r="E407" s="6" t="s">
        <v>1518</v>
      </c>
      <c r="F407" s="6" t="s">
        <v>1519</v>
      </c>
      <c r="G407" s="6" t="s">
        <v>923</v>
      </c>
      <c r="H407" s="6" t="s">
        <v>925</v>
      </c>
    </row>
    <row r="408" customFormat="false" ht="15" hidden="false" customHeight="false" outlineLevel="0" collapsed="false">
      <c r="A408" s="7" t="s">
        <v>1025</v>
      </c>
      <c r="B408" s="7"/>
      <c r="C408" s="7" t="n">
        <v>2025</v>
      </c>
      <c r="D408" s="6" t="s">
        <v>1520</v>
      </c>
      <c r="E408" s="6" t="s">
        <v>1521</v>
      </c>
      <c r="F408" s="6" t="s">
        <v>1522</v>
      </c>
      <c r="G408" s="6" t="s">
        <v>923</v>
      </c>
      <c r="H408" s="6" t="s">
        <v>925</v>
      </c>
    </row>
    <row r="409" customFormat="false" ht="23.85" hidden="false" customHeight="false" outlineLevel="0" collapsed="false">
      <c r="A409" s="7" t="s">
        <v>1025</v>
      </c>
      <c r="B409" s="7"/>
      <c r="C409" s="7" t="n">
        <v>2025</v>
      </c>
      <c r="D409" s="6" t="s">
        <v>1523</v>
      </c>
      <c r="E409" s="6" t="s">
        <v>1524</v>
      </c>
      <c r="F409" s="6" t="s">
        <v>1525</v>
      </c>
      <c r="G409" s="6" t="s">
        <v>923</v>
      </c>
      <c r="H409" s="6" t="s">
        <v>925</v>
      </c>
    </row>
    <row r="410" customFormat="false" ht="23.85" hidden="false" customHeight="false" outlineLevel="0" collapsed="false">
      <c r="A410" s="7" t="s">
        <v>1025</v>
      </c>
      <c r="B410" s="7"/>
      <c r="C410" s="7" t="n">
        <v>2025</v>
      </c>
      <c r="D410" s="6" t="s">
        <v>1526</v>
      </c>
      <c r="E410" s="6" t="s">
        <v>254</v>
      </c>
      <c r="F410" s="6" t="s">
        <v>1527</v>
      </c>
      <c r="G410" s="6" t="s">
        <v>920</v>
      </c>
      <c r="H410" s="6" t="s">
        <v>925</v>
      </c>
    </row>
    <row r="411" customFormat="false" ht="23.85" hidden="false" customHeight="false" outlineLevel="0" collapsed="false">
      <c r="A411" s="7" t="s">
        <v>1025</v>
      </c>
      <c r="B411" s="7"/>
      <c r="C411" s="7" t="n">
        <v>2025</v>
      </c>
      <c r="D411" s="6" t="s">
        <v>1528</v>
      </c>
      <c r="E411" s="6" t="s">
        <v>1529</v>
      </c>
      <c r="F411" s="6" t="s">
        <v>1530</v>
      </c>
      <c r="G411" s="6" t="s">
        <v>923</v>
      </c>
      <c r="H411" s="6" t="s">
        <v>925</v>
      </c>
    </row>
    <row r="412" customFormat="false" ht="15" hidden="false" customHeight="false" outlineLevel="0" collapsed="false">
      <c r="A412" s="7" t="s">
        <v>1025</v>
      </c>
      <c r="B412" s="7"/>
      <c r="C412" s="7" t="n">
        <v>2025</v>
      </c>
      <c r="D412" s="6" t="s">
        <v>1531</v>
      </c>
      <c r="E412" s="6" t="s">
        <v>1532</v>
      </c>
      <c r="F412" s="6" t="s">
        <v>1533</v>
      </c>
      <c r="G412" s="6" t="s">
        <v>917</v>
      </c>
      <c r="H412" s="6" t="s">
        <v>916</v>
      </c>
    </row>
    <row r="413" customFormat="false" ht="23.85" hidden="false" customHeight="false" outlineLevel="0" collapsed="false">
      <c r="A413" s="7" t="s">
        <v>1025</v>
      </c>
      <c r="B413" s="7"/>
      <c r="C413" s="7" t="n">
        <v>2025</v>
      </c>
      <c r="D413" s="6" t="s">
        <v>1534</v>
      </c>
      <c r="E413" s="6" t="s">
        <v>162</v>
      </c>
      <c r="F413" s="6" t="s">
        <v>1535</v>
      </c>
      <c r="G413" s="6" t="s">
        <v>917</v>
      </c>
      <c r="H413" s="6" t="s">
        <v>925</v>
      </c>
    </row>
    <row r="414" customFormat="false" ht="15" hidden="false" customHeight="false" outlineLevel="0" collapsed="false">
      <c r="A414" s="7" t="s">
        <v>1025</v>
      </c>
      <c r="B414" s="7"/>
      <c r="C414" s="7" t="n">
        <v>2025</v>
      </c>
      <c r="D414" s="6" t="s">
        <v>1536</v>
      </c>
      <c r="E414" s="6" t="s">
        <v>162</v>
      </c>
      <c r="F414" s="6" t="s">
        <v>1537</v>
      </c>
      <c r="G414" s="6" t="s">
        <v>917</v>
      </c>
      <c r="H414" s="6" t="s">
        <v>925</v>
      </c>
    </row>
    <row r="415" customFormat="false" ht="23.85" hidden="false" customHeight="false" outlineLevel="0" collapsed="false">
      <c r="A415" s="7" t="s">
        <v>1025</v>
      </c>
      <c r="B415" s="7"/>
      <c r="C415" s="7" t="n">
        <v>2025</v>
      </c>
      <c r="D415" s="6" t="s">
        <v>1538</v>
      </c>
      <c r="E415" s="6" t="s">
        <v>162</v>
      </c>
      <c r="F415" s="6" t="s">
        <v>1539</v>
      </c>
      <c r="G415" s="6" t="s">
        <v>1028</v>
      </c>
      <c r="H415" s="6" t="s">
        <v>925</v>
      </c>
    </row>
    <row r="416" customFormat="false" ht="15" hidden="false" customHeight="false" outlineLevel="0" collapsed="false">
      <c r="A416" s="7" t="s">
        <v>1025</v>
      </c>
      <c r="B416" s="7"/>
      <c r="C416" s="7" t="n">
        <v>2025</v>
      </c>
      <c r="D416" s="6" t="s">
        <v>1540</v>
      </c>
      <c r="E416" s="6" t="s">
        <v>296</v>
      </c>
      <c r="F416" s="6" t="s">
        <v>1541</v>
      </c>
      <c r="G416" s="6" t="s">
        <v>917</v>
      </c>
      <c r="H416" s="6" t="s">
        <v>916</v>
      </c>
    </row>
    <row r="417" customFormat="false" ht="23.85" hidden="false" customHeight="false" outlineLevel="0" collapsed="false">
      <c r="A417" s="7" t="s">
        <v>1025</v>
      </c>
      <c r="B417" s="7"/>
      <c r="C417" s="7" t="n">
        <v>2025</v>
      </c>
      <c r="D417" s="6" t="s">
        <v>1542</v>
      </c>
      <c r="E417" s="6" t="s">
        <v>1543</v>
      </c>
      <c r="F417" s="6" t="s">
        <v>1544</v>
      </c>
      <c r="G417" s="6" t="s">
        <v>915</v>
      </c>
      <c r="H417" s="6" t="s">
        <v>925</v>
      </c>
    </row>
    <row r="418" customFormat="false" ht="23.85" hidden="false" customHeight="false" outlineLevel="0" collapsed="false">
      <c r="A418" s="7" t="s">
        <v>1025</v>
      </c>
      <c r="B418" s="7"/>
      <c r="C418" s="7" t="n">
        <v>2025</v>
      </c>
      <c r="D418" s="6" t="s">
        <v>1545</v>
      </c>
      <c r="E418" s="6" t="s">
        <v>1546</v>
      </c>
      <c r="F418" s="6" t="s">
        <v>1547</v>
      </c>
      <c r="G418" s="6" t="s">
        <v>923</v>
      </c>
      <c r="H418" s="6" t="s">
        <v>916</v>
      </c>
    </row>
    <row r="419" customFormat="false" ht="23.85" hidden="false" customHeight="false" outlineLevel="0" collapsed="false">
      <c r="A419" s="7" t="s">
        <v>1025</v>
      </c>
      <c r="B419" s="7"/>
      <c r="C419" s="7" t="n">
        <v>2026</v>
      </c>
      <c r="D419" s="6" t="s">
        <v>1548</v>
      </c>
      <c r="E419" s="6" t="s">
        <v>219</v>
      </c>
      <c r="F419" s="6" t="s">
        <v>1549</v>
      </c>
      <c r="G419" s="6" t="s">
        <v>919</v>
      </c>
      <c r="H419" s="6" t="s">
        <v>916</v>
      </c>
    </row>
    <row r="420" customFormat="false" ht="23.85" hidden="false" customHeight="false" outlineLevel="0" collapsed="false">
      <c r="A420" s="7" t="s">
        <v>1025</v>
      </c>
      <c r="B420" s="7"/>
      <c r="C420" s="7" t="n">
        <v>2026</v>
      </c>
      <c r="D420" s="6" t="s">
        <v>1550</v>
      </c>
      <c r="E420" s="6" t="s">
        <v>219</v>
      </c>
      <c r="F420" s="6" t="s">
        <v>1551</v>
      </c>
      <c r="G420" s="6" t="s">
        <v>919</v>
      </c>
      <c r="H420" s="6" t="s">
        <v>916</v>
      </c>
    </row>
    <row r="421" customFormat="false" ht="23.85" hidden="false" customHeight="false" outlineLevel="0" collapsed="false">
      <c r="A421" s="7" t="s">
        <v>1025</v>
      </c>
      <c r="B421" s="7"/>
      <c r="C421" s="7" t="n">
        <v>2026</v>
      </c>
      <c r="D421" s="6" t="s">
        <v>1552</v>
      </c>
      <c r="E421" s="6" t="s">
        <v>254</v>
      </c>
      <c r="F421" s="6" t="s">
        <v>1553</v>
      </c>
      <c r="G421" s="6" t="s">
        <v>920</v>
      </c>
      <c r="H421" s="6" t="s">
        <v>925</v>
      </c>
    </row>
    <row r="422" customFormat="false" ht="23.85" hidden="false" customHeight="false" outlineLevel="0" collapsed="false">
      <c r="A422" s="7" t="s">
        <v>1025</v>
      </c>
      <c r="B422" s="7"/>
      <c r="C422" s="7" t="n">
        <v>2026</v>
      </c>
      <c r="D422" s="6" t="s">
        <v>1554</v>
      </c>
      <c r="E422" s="6" t="s">
        <v>1479</v>
      </c>
      <c r="F422" s="6" t="s">
        <v>1555</v>
      </c>
      <c r="G422" s="6" t="s">
        <v>920</v>
      </c>
      <c r="H422" s="6" t="s">
        <v>916</v>
      </c>
    </row>
    <row r="423" customFormat="false" ht="23.85" hidden="false" customHeight="false" outlineLevel="0" collapsed="false">
      <c r="A423" s="7" t="s">
        <v>1025</v>
      </c>
      <c r="B423" s="7"/>
      <c r="C423" s="7" t="n">
        <v>2026</v>
      </c>
      <c r="D423" s="6" t="s">
        <v>1556</v>
      </c>
      <c r="E423" s="6" t="s">
        <v>1346</v>
      </c>
      <c r="F423" s="6" t="s">
        <v>1557</v>
      </c>
      <c r="G423" s="6" t="s">
        <v>917</v>
      </c>
      <c r="H423" s="6" t="s">
        <v>916</v>
      </c>
    </row>
    <row r="424" customFormat="false" ht="15" hidden="false" customHeight="false" outlineLevel="0" collapsed="false">
      <c r="A424" s="7" t="s">
        <v>1025</v>
      </c>
      <c r="B424" s="7"/>
      <c r="C424" s="7" t="n">
        <v>2026</v>
      </c>
      <c r="D424" s="6" t="s">
        <v>1558</v>
      </c>
      <c r="E424" s="6" t="s">
        <v>1559</v>
      </c>
      <c r="F424" s="6" t="s">
        <v>1560</v>
      </c>
      <c r="G424" s="6" t="s">
        <v>918</v>
      </c>
      <c r="H424" s="6" t="s">
        <v>916</v>
      </c>
    </row>
    <row r="425" customFormat="false" ht="15" hidden="false" customHeight="false" outlineLevel="0" collapsed="false">
      <c r="A425" s="7" t="s">
        <v>1025</v>
      </c>
      <c r="B425" s="7"/>
      <c r="C425" s="7" t="n">
        <v>2026</v>
      </c>
      <c r="D425" s="6" t="s">
        <v>1561</v>
      </c>
      <c r="E425" s="6" t="s">
        <v>1293</v>
      </c>
      <c r="F425" s="6" t="s">
        <v>1562</v>
      </c>
      <c r="G425" s="6" t="s">
        <v>923</v>
      </c>
      <c r="H425" s="6" t="s">
        <v>916</v>
      </c>
    </row>
    <row r="426" customFormat="false" ht="23.85" hidden="false" customHeight="false" outlineLevel="0" collapsed="false">
      <c r="A426" s="7" t="s">
        <v>1025</v>
      </c>
      <c r="B426" s="7"/>
      <c r="C426" s="7" t="n">
        <v>2026</v>
      </c>
      <c r="D426" s="6" t="s">
        <v>1563</v>
      </c>
      <c r="E426" s="6" t="s">
        <v>219</v>
      </c>
      <c r="F426" s="6" t="s">
        <v>1564</v>
      </c>
      <c r="G426" s="6" t="s">
        <v>919</v>
      </c>
      <c r="H426" s="6" t="s">
        <v>916</v>
      </c>
    </row>
    <row r="427" customFormat="false" ht="23.85" hidden="false" customHeight="false" outlineLevel="0" collapsed="false">
      <c r="A427" s="7" t="s">
        <v>1025</v>
      </c>
      <c r="B427" s="7"/>
      <c r="C427" s="7" t="n">
        <v>2026</v>
      </c>
      <c r="D427" s="6" t="s">
        <v>1565</v>
      </c>
      <c r="E427" s="6" t="s">
        <v>397</v>
      </c>
      <c r="F427" s="6" t="s">
        <v>1566</v>
      </c>
      <c r="G427" s="6" t="s">
        <v>923</v>
      </c>
      <c r="H427" s="6" t="s">
        <v>925</v>
      </c>
    </row>
    <row r="428" customFormat="false" ht="15" hidden="false" customHeight="false" outlineLevel="0" collapsed="false">
      <c r="A428" s="7" t="s">
        <v>1025</v>
      </c>
      <c r="B428" s="7"/>
      <c r="C428" s="7" t="n">
        <v>2026</v>
      </c>
      <c r="D428" s="6" t="s">
        <v>1567</v>
      </c>
      <c r="E428" s="6" t="s">
        <v>1445</v>
      </c>
      <c r="F428" s="6" t="s">
        <v>1568</v>
      </c>
      <c r="G428" s="6" t="s">
        <v>923</v>
      </c>
      <c r="H428" s="6" t="s">
        <v>916</v>
      </c>
    </row>
    <row r="429" customFormat="false" ht="15" hidden="false" customHeight="false" outlineLevel="0" collapsed="false">
      <c r="A429" s="7" t="s">
        <v>1025</v>
      </c>
      <c r="B429" s="7"/>
      <c r="C429" s="7" t="n">
        <v>2026</v>
      </c>
      <c r="D429" s="6" t="s">
        <v>1569</v>
      </c>
      <c r="E429" s="6" t="s">
        <v>1570</v>
      </c>
      <c r="F429" s="6" t="s">
        <v>1571</v>
      </c>
      <c r="G429" s="6" t="s">
        <v>919</v>
      </c>
      <c r="H429" s="6" t="s">
        <v>916</v>
      </c>
    </row>
    <row r="430" customFormat="false" ht="23.85" hidden="false" customHeight="false" outlineLevel="0" collapsed="false">
      <c r="A430" s="7" t="s">
        <v>1025</v>
      </c>
      <c r="B430" s="7"/>
      <c r="C430" s="7" t="n">
        <v>2026</v>
      </c>
      <c r="D430" s="6" t="s">
        <v>1572</v>
      </c>
      <c r="E430" s="6" t="s">
        <v>219</v>
      </c>
      <c r="F430" s="6" t="s">
        <v>1573</v>
      </c>
      <c r="G430" s="6" t="s">
        <v>917</v>
      </c>
      <c r="H430" s="6" t="s">
        <v>925</v>
      </c>
    </row>
    <row r="431" customFormat="false" ht="23.85" hidden="false" customHeight="false" outlineLevel="0" collapsed="false">
      <c r="A431" s="7" t="s">
        <v>1025</v>
      </c>
      <c r="B431" s="7"/>
      <c r="C431" s="7" t="n">
        <v>2026</v>
      </c>
      <c r="D431" s="6" t="s">
        <v>1574</v>
      </c>
      <c r="E431" s="6" t="s">
        <v>219</v>
      </c>
      <c r="F431" s="6" t="s">
        <v>1575</v>
      </c>
      <c r="G431" s="6" t="s">
        <v>923</v>
      </c>
      <c r="H431" s="6" t="s">
        <v>925</v>
      </c>
    </row>
    <row r="432" customFormat="false" ht="23.85" hidden="false" customHeight="false" outlineLevel="0" collapsed="false">
      <c r="A432" s="7" t="s">
        <v>1025</v>
      </c>
      <c r="B432" s="7"/>
      <c r="C432" s="7" t="n">
        <v>2026</v>
      </c>
      <c r="D432" s="6" t="s">
        <v>1576</v>
      </c>
      <c r="E432" s="6" t="s">
        <v>219</v>
      </c>
      <c r="F432" s="6" t="s">
        <v>1577</v>
      </c>
      <c r="G432" s="6" t="s">
        <v>915</v>
      </c>
      <c r="H432" s="6" t="s">
        <v>925</v>
      </c>
    </row>
    <row r="433" customFormat="false" ht="23.85" hidden="false" customHeight="false" outlineLevel="0" collapsed="false">
      <c r="A433" s="7" t="s">
        <v>1025</v>
      </c>
      <c r="B433" s="7"/>
      <c r="C433" s="7" t="n">
        <v>2026</v>
      </c>
      <c r="D433" s="6" t="s">
        <v>1578</v>
      </c>
      <c r="E433" s="6" t="s">
        <v>1579</v>
      </c>
      <c r="F433" s="6" t="s">
        <v>1580</v>
      </c>
      <c r="G433" s="6" t="s">
        <v>917</v>
      </c>
      <c r="H433" s="6" t="s">
        <v>925</v>
      </c>
    </row>
    <row r="434" customFormat="false" ht="15" hidden="false" customHeight="false" outlineLevel="0" collapsed="false">
      <c r="A434" s="7" t="s">
        <v>1025</v>
      </c>
      <c r="B434" s="7"/>
      <c r="C434" s="7" t="n">
        <v>2026</v>
      </c>
      <c r="D434" s="6" t="s">
        <v>1581</v>
      </c>
      <c r="E434" s="6" t="s">
        <v>162</v>
      </c>
      <c r="F434" s="6" t="s">
        <v>1582</v>
      </c>
      <c r="G434" s="6" t="s">
        <v>917</v>
      </c>
      <c r="H434" s="6" t="s">
        <v>916</v>
      </c>
    </row>
    <row r="435" customFormat="false" ht="15" hidden="false" customHeight="false" outlineLevel="0" collapsed="false">
      <c r="A435" s="7" t="s">
        <v>1025</v>
      </c>
      <c r="B435" s="7"/>
      <c r="C435" s="7" t="n">
        <v>2026</v>
      </c>
      <c r="D435" s="6" t="s">
        <v>1583</v>
      </c>
      <c r="E435" s="6" t="s">
        <v>1584</v>
      </c>
      <c r="F435" s="6" t="s">
        <v>1585</v>
      </c>
      <c r="G435" s="6" t="s">
        <v>915</v>
      </c>
      <c r="H435" s="6" t="s">
        <v>925</v>
      </c>
    </row>
    <row r="436" customFormat="false" ht="15" hidden="false" customHeight="false" outlineLevel="0" collapsed="false">
      <c r="A436" s="7" t="s">
        <v>1025</v>
      </c>
      <c r="B436" s="7"/>
      <c r="C436" s="7" t="n">
        <v>2026</v>
      </c>
      <c r="D436" s="6" t="s">
        <v>1586</v>
      </c>
      <c r="E436" s="6" t="s">
        <v>125</v>
      </c>
      <c r="F436" s="6" t="s">
        <v>1587</v>
      </c>
      <c r="G436" s="6" t="s">
        <v>923</v>
      </c>
      <c r="H436" s="6" t="s">
        <v>925</v>
      </c>
    </row>
    <row r="437" customFormat="false" ht="23.85" hidden="false" customHeight="false" outlineLevel="0" collapsed="false">
      <c r="A437" s="7" t="s">
        <v>1025</v>
      </c>
      <c r="B437" s="7"/>
      <c r="C437" s="7" t="n">
        <v>2026</v>
      </c>
      <c r="D437" s="6" t="s">
        <v>1588</v>
      </c>
      <c r="E437" s="6" t="s">
        <v>125</v>
      </c>
      <c r="F437" s="6" t="s">
        <v>1589</v>
      </c>
      <c r="G437" s="6" t="s">
        <v>924</v>
      </c>
      <c r="H437" s="6" t="s">
        <v>925</v>
      </c>
    </row>
    <row r="438" customFormat="false" ht="23.85" hidden="false" customHeight="false" outlineLevel="0" collapsed="false">
      <c r="A438" s="7" t="s">
        <v>1025</v>
      </c>
      <c r="B438" s="7"/>
      <c r="C438" s="7" t="n">
        <v>2026</v>
      </c>
      <c r="D438" s="6" t="s">
        <v>1590</v>
      </c>
      <c r="E438" s="6" t="s">
        <v>125</v>
      </c>
      <c r="F438" s="6" t="s">
        <v>1591</v>
      </c>
      <c r="G438" s="6" t="s">
        <v>923</v>
      </c>
      <c r="H438" s="6" t="s">
        <v>925</v>
      </c>
    </row>
    <row r="439" customFormat="false" ht="35.05" hidden="false" customHeight="false" outlineLevel="0" collapsed="false">
      <c r="A439" s="7" t="s">
        <v>1025</v>
      </c>
      <c r="B439" s="7"/>
      <c r="C439" s="7" t="n">
        <v>2026</v>
      </c>
      <c r="D439" s="6" t="s">
        <v>1592</v>
      </c>
      <c r="E439" s="6" t="s">
        <v>1593</v>
      </c>
      <c r="F439" s="6" t="s">
        <v>1594</v>
      </c>
      <c r="G439" s="6" t="s">
        <v>923</v>
      </c>
      <c r="H439" s="6" t="s">
        <v>916</v>
      </c>
    </row>
  </sheetData>
  <autoFilter ref="A1:H43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2026-10-13T11:04:40Z</dcterms:created>
  <dc:creator>openpyxl</dc:creator>
  <dc:description/>
  <dc:language>en-US</dc:language>
  <cp:lastModifiedBy/>
  <dcterms:modified xsi:type="dcterms:W3CDTF">2026-10-13T11:04:40Z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